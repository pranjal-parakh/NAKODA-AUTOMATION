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EBUARY 2026\दैनिक आवक जावक - FEBUARY  26\"/>
    </mc:Choice>
  </mc:AlternateContent>
  <bookViews>
    <workbookView xWindow="0" yWindow="0" windowWidth="20490" windowHeight="8280" activeTab="1"/>
  </bookViews>
  <sheets>
    <sheet name="आवक " sheetId="1" r:id="rId1"/>
    <sheet name="जावक " sheetId="2" r:id="rId2"/>
    <sheet name="समरी " sheetId="3" r:id="rId3"/>
  </sheets>
  <definedNames>
    <definedName name="_xlnm._FilterDatabase" localSheetId="0" hidden="1">'आवक '!$E$7:$E$35</definedName>
    <definedName name="_xlnm.Print_Area" localSheetId="0">'आवक '!$A$38:$K$74</definedName>
    <definedName name="_xlnm.Print_Area" localSheetId="1">'जावक '!$A$41:$H$73</definedName>
    <definedName name="_xlnm.Print_Area" localSheetId="2">'समरी '!$B$1:$AE$27</definedName>
    <definedName name="_xlnm.Print_Titles" localSheetId="0">'आवक '!$2:$2</definedName>
    <definedName name="_xlnm.Print_Titles" localSheetId="1">'जावक '!$2:$2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2" i="2" l="1"/>
  <c r="G69" i="2" l="1"/>
  <c r="G63" i="2"/>
  <c r="G55" i="2"/>
  <c r="G50" i="2"/>
  <c r="G39" i="2"/>
  <c r="G20" i="2"/>
  <c r="K70" i="1"/>
  <c r="K66" i="1"/>
  <c r="K58" i="1"/>
  <c r="K36" i="1"/>
  <c r="Z24" i="3" l="1"/>
  <c r="Z12" i="3"/>
  <c r="M12" i="3"/>
  <c r="I66" i="1"/>
  <c r="J66" i="1" l="1"/>
  <c r="N12" i="3" l="1"/>
  <c r="F39" i="2" l="1"/>
  <c r="E39" i="2"/>
  <c r="K61" i="1" l="1"/>
  <c r="K64" i="1"/>
  <c r="K62" i="1"/>
  <c r="K63" i="1"/>
  <c r="A72" i="2" l="1"/>
  <c r="X12" i="3"/>
  <c r="P12" i="3"/>
  <c r="C24" i="3" l="1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B24" i="3"/>
  <c r="O12" i="3"/>
  <c r="Q12" i="3"/>
  <c r="R12" i="3"/>
  <c r="S12" i="3"/>
  <c r="T12" i="3"/>
  <c r="U12" i="3"/>
  <c r="V12" i="3"/>
  <c r="W12" i="3"/>
  <c r="AB24" i="3" l="1"/>
  <c r="AA24" i="3"/>
  <c r="B12" i="3" l="1"/>
  <c r="I36" i="1" l="1"/>
  <c r="B73" i="1" s="1"/>
  <c r="J36" i="1"/>
  <c r="E73" i="1" s="1"/>
  <c r="J73" i="1" l="1"/>
  <c r="AF12" i="3" l="1"/>
  <c r="I12" i="3" l="1"/>
  <c r="H12" i="3"/>
  <c r="G12" i="3" l="1"/>
  <c r="Y12" i="3" l="1"/>
  <c r="K12" i="3"/>
  <c r="E12" i="3"/>
  <c r="C12" i="3" l="1"/>
  <c r="AB12" i="3" s="1"/>
  <c r="D12" i="3"/>
  <c r="F12" i="3"/>
  <c r="J12" i="3"/>
  <c r="L12" i="3"/>
  <c r="AA12" i="3" l="1"/>
  <c r="AG12" i="3"/>
  <c r="AD12" i="3"/>
  <c r="AE12" i="3"/>
  <c r="AF24" i="3"/>
  <c r="AG24" i="3" l="1"/>
  <c r="AD24" i="3" l="1"/>
  <c r="K73" i="1" l="1"/>
  <c r="I73" i="1" l="1"/>
  <c r="AE24" i="3" l="1"/>
  <c r="E72" i="2" l="1"/>
</calcChain>
</file>

<file path=xl/sharedStrings.xml><?xml version="1.0" encoding="utf-8"?>
<sst xmlns="http://schemas.openxmlformats.org/spreadsheetml/2006/main" count="326" uniqueCount="167">
  <si>
    <t>!! श्री गणेशाय नमः !!</t>
  </si>
  <si>
    <t xml:space="preserve">        आवक </t>
  </si>
  <si>
    <t>NAME</t>
  </si>
  <si>
    <t>ADRRESS</t>
  </si>
  <si>
    <t>ITEM NAME</t>
  </si>
  <si>
    <t>PURITY</t>
  </si>
  <si>
    <t>GOLD WT.</t>
  </si>
  <si>
    <t>SILVER WT.</t>
  </si>
  <si>
    <t>AMOUNT</t>
  </si>
  <si>
    <t xml:space="preserve">बिक्री </t>
  </si>
  <si>
    <t>TOTAL</t>
  </si>
  <si>
    <t xml:space="preserve">जमा </t>
  </si>
  <si>
    <t xml:space="preserve">गिरवी जमा /छूटा </t>
  </si>
  <si>
    <t xml:space="preserve">मूलधन </t>
  </si>
  <si>
    <t xml:space="preserve">ब्याज </t>
  </si>
  <si>
    <t>GRAND TOTAL</t>
  </si>
  <si>
    <t xml:space="preserve">आवक </t>
  </si>
  <si>
    <t xml:space="preserve">जावक </t>
  </si>
  <si>
    <t xml:space="preserve">बढ़त </t>
  </si>
  <si>
    <t xml:space="preserve">कम </t>
  </si>
  <si>
    <t xml:space="preserve">सोना </t>
  </si>
  <si>
    <t xml:space="preserve">फुल्ली </t>
  </si>
  <si>
    <t xml:space="preserve">चांदी </t>
  </si>
  <si>
    <t xml:space="preserve">उधारी </t>
  </si>
  <si>
    <t xml:space="preserve">          जावक </t>
  </si>
  <si>
    <t>REMARK</t>
  </si>
  <si>
    <t xml:space="preserve">खर्च </t>
  </si>
  <si>
    <t xml:space="preserve">दाना </t>
  </si>
  <si>
    <t xml:space="preserve">जोड़ी </t>
  </si>
  <si>
    <t xml:space="preserve">वजन </t>
  </si>
  <si>
    <t xml:space="preserve">नग </t>
  </si>
  <si>
    <t xml:space="preserve">बिछिया </t>
  </si>
  <si>
    <t xml:space="preserve">गिरवी क्र. </t>
  </si>
  <si>
    <t>NJ</t>
  </si>
  <si>
    <t>PC/PEAR</t>
  </si>
  <si>
    <t xml:space="preserve">नाम </t>
  </si>
  <si>
    <t xml:space="preserve">पता </t>
  </si>
  <si>
    <t xml:space="preserve">दिनांक </t>
  </si>
  <si>
    <t xml:space="preserve">BILL NO. </t>
  </si>
  <si>
    <t>_</t>
  </si>
  <si>
    <t xml:space="preserve">खरीदी </t>
  </si>
  <si>
    <t>जोड़ी</t>
  </si>
  <si>
    <t xml:space="preserve">          फुल्ली -</t>
  </si>
  <si>
    <t>नग /जोड़ी</t>
  </si>
  <si>
    <t>पूजा समान</t>
  </si>
  <si>
    <t>वजन</t>
  </si>
  <si>
    <t>LESS</t>
  </si>
  <si>
    <t>BILL NO</t>
  </si>
  <si>
    <t xml:space="preserve">गिरवी </t>
  </si>
  <si>
    <t xml:space="preserve">क्रमांक </t>
  </si>
  <si>
    <t xml:space="preserve">गुथाई दिया </t>
  </si>
  <si>
    <t xml:space="preserve">पुराना खरीदी </t>
  </si>
  <si>
    <t xml:space="preserve">  OPENNING BALENCE -</t>
  </si>
  <si>
    <t>SAMMURY</t>
  </si>
  <si>
    <t xml:space="preserve">टॉप्स </t>
  </si>
  <si>
    <t xml:space="preserve">पायल </t>
  </si>
  <si>
    <t xml:space="preserve">लॉकेट </t>
  </si>
  <si>
    <t>GRAND TOTAL -</t>
  </si>
  <si>
    <t>P.N.</t>
  </si>
  <si>
    <t>नग</t>
  </si>
  <si>
    <t xml:space="preserve"> </t>
  </si>
  <si>
    <t>OTHERS</t>
  </si>
  <si>
    <t xml:space="preserve">   </t>
  </si>
  <si>
    <t>UPI/PAYTM/G-PAY/BANK</t>
  </si>
  <si>
    <t>CLOSING BALENCE</t>
  </si>
  <si>
    <t xml:space="preserve">गुथाई लिया </t>
  </si>
  <si>
    <t xml:space="preserve">18-02-2026 बुधवार   </t>
  </si>
  <si>
    <t xml:space="preserve">18-02-2026 बुधवार      </t>
  </si>
  <si>
    <t xml:space="preserve">चिचा भिलाई </t>
  </si>
  <si>
    <r>
      <t>शीतल साहू/</t>
    </r>
    <r>
      <rPr>
        <sz val="36"/>
        <color theme="1"/>
        <rFont val="Nirmala UI"/>
        <family val="2"/>
      </rPr>
      <t>रवि कुमार(अरविन्द साहू)</t>
    </r>
    <r>
      <rPr>
        <sz val="48"/>
        <color theme="1"/>
        <rFont val="Nirmala UI"/>
        <family val="2"/>
      </rPr>
      <t>(122)</t>
    </r>
  </si>
  <si>
    <t>केसरी साहू बहन जी (39)</t>
  </si>
  <si>
    <t xml:space="preserve">उतई </t>
  </si>
  <si>
    <t>राजेन्द्र सिन्हा(107)</t>
  </si>
  <si>
    <t xml:space="preserve">माहकाकला </t>
  </si>
  <si>
    <t>पून्नी बाई यादव/नन्द कुमार(122)</t>
  </si>
  <si>
    <t xml:space="preserve">बोरसी </t>
  </si>
  <si>
    <t>दिगंबर साहू/गयाराम(21)</t>
  </si>
  <si>
    <t xml:space="preserve">मचांदुर </t>
  </si>
  <si>
    <t>चेतन लाल वर्मा(फौजी)(बाला)</t>
  </si>
  <si>
    <t>सोनमत साहू(सब्जी वाली)(60)</t>
  </si>
  <si>
    <t>लक्ष्मी प्रसाद कुर्रे/समयदास(39)</t>
  </si>
  <si>
    <t xml:space="preserve">AD का जमा </t>
  </si>
  <si>
    <t>बसंत कुमार पटेल/बंशीलाल(50)</t>
  </si>
  <si>
    <t xml:space="preserve">पुरई </t>
  </si>
  <si>
    <t xml:space="preserve">नगदी+ब्याज  का जमा </t>
  </si>
  <si>
    <t xml:space="preserve">नेवई </t>
  </si>
  <si>
    <t>मदन सत.(30000+ब्याज-1000)</t>
  </si>
  <si>
    <t xml:space="preserve">गिरवी का जमा </t>
  </si>
  <si>
    <t xml:space="preserve">784 गिरवी मे </t>
  </si>
  <si>
    <t>माखन लाल यादव जी(64)</t>
  </si>
  <si>
    <t xml:space="preserve">टंकी मरोदा </t>
  </si>
  <si>
    <t xml:space="preserve">त्रिलोक साहू-पुरई </t>
  </si>
  <si>
    <t>K-39</t>
  </si>
  <si>
    <t xml:space="preserve">फत्तेबहादुर सिंह-पुरई </t>
  </si>
  <si>
    <t xml:space="preserve">K-37 </t>
  </si>
  <si>
    <t xml:space="preserve">मदन सत-नेवई </t>
  </si>
  <si>
    <t>K</t>
  </si>
  <si>
    <t xml:space="preserve">नगदी दिया </t>
  </si>
  <si>
    <t>समारु राम देवांगन(कीर्ति)</t>
  </si>
  <si>
    <t xml:space="preserve">मेहत्तर सत-पतोरा </t>
  </si>
  <si>
    <t xml:space="preserve">प्रीति रजक/जितेंद्र कुमार </t>
  </si>
  <si>
    <t xml:space="preserve">द्वारिका थानुराम ड़हरे-कोषा </t>
  </si>
  <si>
    <r>
      <rPr>
        <b/>
        <sz val="72"/>
        <color rgb="FF000000"/>
        <rFont val="Nirmala UI"/>
        <family val="2"/>
      </rPr>
      <t>35/</t>
    </r>
    <r>
      <rPr>
        <sz val="48"/>
        <color rgb="FF000000"/>
        <rFont val="Nirmala UI"/>
        <family val="2"/>
      </rPr>
      <t xml:space="preserve">91 </t>
    </r>
  </si>
  <si>
    <t xml:space="preserve">लाकेट </t>
  </si>
  <si>
    <t>लाकेट(381)</t>
  </si>
  <si>
    <t xml:space="preserve">1 नग </t>
  </si>
  <si>
    <t>मंगल सत.(70)</t>
  </si>
  <si>
    <t xml:space="preserve">पतोरा </t>
  </si>
  <si>
    <t xml:space="preserve">1 जोड़ी </t>
  </si>
  <si>
    <t>"</t>
  </si>
  <si>
    <t>उषा बनपाल/कमलनारायण(शीतलापारा)(73)</t>
  </si>
  <si>
    <t xml:space="preserve">94 </t>
  </si>
  <si>
    <t xml:space="preserve">ठुसकी </t>
  </si>
  <si>
    <t>22 CT</t>
  </si>
  <si>
    <t>0.480(91.6)</t>
  </si>
  <si>
    <t xml:space="preserve">95 </t>
  </si>
  <si>
    <t xml:space="preserve">चैन </t>
  </si>
  <si>
    <t xml:space="preserve">फुली </t>
  </si>
  <si>
    <t xml:space="preserve">S/47 </t>
  </si>
  <si>
    <t>अंगूठी NS</t>
  </si>
  <si>
    <t>मुकेश भैया NJ(93)</t>
  </si>
  <si>
    <t xml:space="preserve">अचानकपुर </t>
  </si>
  <si>
    <t xml:space="preserve">सिक्का </t>
  </si>
  <si>
    <t xml:space="preserve">पूजा समान </t>
  </si>
  <si>
    <t xml:space="preserve">3 नग </t>
  </si>
  <si>
    <t>S/48</t>
  </si>
  <si>
    <t xml:space="preserve">R/32 </t>
  </si>
  <si>
    <t>टॉप्स/R</t>
  </si>
  <si>
    <t>अंगूठी/R</t>
  </si>
  <si>
    <t xml:space="preserve">तरुणा साहू </t>
  </si>
  <si>
    <t xml:space="preserve">96 </t>
  </si>
  <si>
    <t xml:space="preserve">97 </t>
  </si>
  <si>
    <r>
      <t>रुचि साहू/भूषण लाल साहू(इंद्रा नगर)(60)</t>
    </r>
    <r>
      <rPr>
        <b/>
        <sz val="36"/>
        <color rgb="FF000000"/>
        <rFont val="Nirmala UI"/>
        <family val="2"/>
      </rPr>
      <t>(1 माह)</t>
    </r>
  </si>
  <si>
    <t>S/02-65</t>
  </si>
  <si>
    <t xml:space="preserve">डंपी पारख </t>
  </si>
  <si>
    <t>रघुनन्दन रात्रे(70)</t>
  </si>
  <si>
    <t>डॉ.ए.आर. साहू जी(87)</t>
  </si>
  <si>
    <t xml:space="preserve">फेकारी </t>
  </si>
  <si>
    <t xml:space="preserve">ढ़ौर </t>
  </si>
  <si>
    <t>भागवत राम साहू(93)</t>
  </si>
  <si>
    <t xml:space="preserve">98 </t>
  </si>
  <si>
    <t xml:space="preserve">99 </t>
  </si>
  <si>
    <t xml:space="preserve">2 जोड़ी </t>
  </si>
  <si>
    <t xml:space="preserve">S/48 </t>
  </si>
  <si>
    <t xml:space="preserve">S/49 </t>
  </si>
  <si>
    <t xml:space="preserve">भूषण साहू(दिगम्बर साहू-मचांदुर)(122) </t>
  </si>
  <si>
    <t xml:space="preserve">सिरसा </t>
  </si>
  <si>
    <t>S/50</t>
  </si>
  <si>
    <t xml:space="preserve">0 जोड़ी </t>
  </si>
  <si>
    <t>0.090(S/50)</t>
  </si>
  <si>
    <t>S/51</t>
  </si>
  <si>
    <t xml:space="preserve">बर्तन </t>
  </si>
  <si>
    <t xml:space="preserve">S/51 </t>
  </si>
  <si>
    <t>लक्ष्मी प्रसाद कुर्रे/समयदास(हथखोजपारा)(39)</t>
  </si>
  <si>
    <t>S/52</t>
  </si>
  <si>
    <t xml:space="preserve">कडली </t>
  </si>
  <si>
    <t>NEWBILL</t>
  </si>
  <si>
    <r>
      <rPr>
        <b/>
        <sz val="72"/>
        <color rgb="FF000000"/>
        <rFont val="Nirmala UI"/>
        <family val="2"/>
      </rPr>
      <t>36/</t>
    </r>
    <r>
      <rPr>
        <sz val="48"/>
        <color rgb="FF000000"/>
        <rFont val="Nirmala UI"/>
        <family val="2"/>
      </rPr>
      <t xml:space="preserve">01 </t>
    </r>
  </si>
  <si>
    <r>
      <t>ताराचंद लहरे/नन्दकुमार(रामती पाटिल-करगाडीह)(64)</t>
    </r>
    <r>
      <rPr>
        <b/>
        <sz val="36"/>
        <color rgb="FF000000"/>
        <rFont val="Nirmala UI"/>
        <family val="2"/>
      </rPr>
      <t>(2 माह)</t>
    </r>
  </si>
  <si>
    <t>91.6-0.480</t>
  </si>
  <si>
    <t>20-P</t>
  </si>
  <si>
    <t>G-P</t>
  </si>
  <si>
    <t>free</t>
  </si>
  <si>
    <t>cash</t>
  </si>
  <si>
    <t xml:space="preserve">पप्पू भैया </t>
  </si>
  <si>
    <t xml:space="preserve">दिलीप </t>
  </si>
  <si>
    <t xml:space="preserve">माखन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</si>
</sst>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#,##0_ ;\-#,##0\ "/>
  </numFmts>
  <fonts count="25" x14ac:knownFonts="1">
    <font>
      <sz val="11"/>
      <color theme="1"/>
      <name val="Calibri"/>
      <family val="2"/>
      <scheme val="minor"/>
    </font>
    <font>
      <b/>
      <sz val="48"/>
      <color rgb="FF000000"/>
      <name val="Nirmala UI"/>
      <family val="2"/>
    </font>
    <font>
      <b/>
      <sz val="36"/>
      <color rgb="FF000000"/>
      <name val="Nirmala UI"/>
      <family val="2"/>
    </font>
    <font>
      <sz val="11"/>
      <color theme="1"/>
      <name val="Nirmala UI Semilight"/>
      <family val="2"/>
    </font>
    <font>
      <b/>
      <sz val="28"/>
      <color rgb="FF000000"/>
      <name val="Nirmala UI"/>
      <family val="2"/>
    </font>
    <font>
      <b/>
      <sz val="48"/>
      <color rgb="FF000000"/>
      <name val="Constantia"/>
      <family val="1"/>
    </font>
    <font>
      <sz val="28"/>
      <color rgb="FF000000"/>
      <name val="Nirmala UI"/>
      <family val="2"/>
    </font>
    <font>
      <b/>
      <sz val="24"/>
      <color rgb="FF000000"/>
      <name val="Nirmala UI"/>
      <family val="2"/>
    </font>
    <font>
      <sz val="36"/>
      <color rgb="FF000000"/>
      <name val="Nirmala UI"/>
      <family val="2"/>
    </font>
    <font>
      <sz val="36"/>
      <color theme="1"/>
      <name val="Calibri"/>
      <family val="2"/>
      <scheme val="minor"/>
    </font>
    <font>
      <sz val="48"/>
      <color rgb="FF000000"/>
      <name val="Nirmala UI"/>
      <family val="2"/>
    </font>
    <font>
      <sz val="48"/>
      <color theme="1"/>
      <name val="Calibri"/>
      <family val="2"/>
      <scheme val="minor"/>
    </font>
    <font>
      <b/>
      <sz val="48"/>
      <color theme="1"/>
      <name val="Nirmala UI"/>
      <family val="2"/>
    </font>
    <font>
      <sz val="48"/>
      <color theme="1"/>
      <name val="Nirmala UI"/>
      <family val="2"/>
    </font>
    <font>
      <b/>
      <sz val="26"/>
      <color rgb="FF000000"/>
      <name val="Nirmala UI"/>
      <family val="2"/>
    </font>
    <font>
      <sz val="36"/>
      <color theme="1"/>
      <name val="Nirmala UI Semilight"/>
      <family val="2"/>
    </font>
    <font>
      <b/>
      <sz val="36"/>
      <color theme="1"/>
      <name val="Nirmala UI"/>
      <family val="2"/>
    </font>
    <font>
      <b/>
      <sz val="36"/>
      <name val="Nirmala UI"/>
      <family val="2"/>
    </font>
    <font>
      <b/>
      <sz val="36"/>
      <color rgb="FF3F3F3F"/>
      <name val="Nirmala UI"/>
      <family val="2"/>
    </font>
    <font>
      <sz val="48"/>
      <color rgb="FF000000"/>
      <name val="Calibri"/>
      <family val="2"/>
    </font>
    <font>
      <sz val="48"/>
      <color theme="1"/>
      <name val="Calibri"/>
      <family val="2"/>
    </font>
    <font>
      <b/>
      <sz val="22"/>
      <color rgb="FF000000"/>
      <name val="Nirmala UI"/>
      <family val="2"/>
    </font>
    <font>
      <b/>
      <sz val="28"/>
      <color rgb="FF000000"/>
      <name val="Constantia"/>
      <family val="1"/>
    </font>
    <font>
      <sz val="36"/>
      <color theme="1"/>
      <name val="Nirmala UI"/>
      <family val="2"/>
    </font>
    <font>
      <b/>
      <sz val="72"/>
      <color rgb="FF000000"/>
      <name val="Nirmala UI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5">
    <xf numFmtId="0" fontId="0" fillId="0" borderId="0" xfId="0"/>
    <xf numFmtId="0" fontId="3" fillId="0" borderId="0" xfId="0" applyFont="1"/>
    <xf numFmtId="0" fontId="5" fillId="3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0" fillId="0" borderId="0" xfId="0" applyBorder="1"/>
    <xf numFmtId="0" fontId="4" fillId="5" borderId="27" xfId="0" applyFont="1" applyFill="1" applyBorder="1" applyAlignment="1">
      <alignment horizontal="center" vertical="top"/>
    </xf>
    <xf numFmtId="0" fontId="4" fillId="5" borderId="27" xfId="0" applyFont="1" applyFill="1" applyBorder="1" applyAlignment="1">
      <alignment horizontal="center" vertical="center"/>
    </xf>
    <xf numFmtId="0" fontId="8" fillId="11" borderId="46" xfId="0" applyFont="1" applyFill="1" applyBorder="1" applyAlignment="1"/>
    <xf numFmtId="0" fontId="8" fillId="11" borderId="52" xfId="0" applyFont="1" applyFill="1" applyBorder="1" applyAlignment="1"/>
    <xf numFmtId="0" fontId="1" fillId="4" borderId="1" xfId="0" applyFont="1" applyFill="1" applyBorder="1" applyAlignment="1"/>
    <xf numFmtId="0" fontId="2" fillId="4" borderId="5" xfId="0" applyFont="1" applyFill="1" applyBorder="1"/>
    <xf numFmtId="0" fontId="10" fillId="11" borderId="52" xfId="0" applyFont="1" applyFill="1" applyBorder="1" applyAlignment="1"/>
    <xf numFmtId="0" fontId="10" fillId="8" borderId="1" xfId="0" applyFont="1" applyFill="1" applyBorder="1" applyAlignment="1">
      <alignment horizontal="center"/>
    </xf>
    <xf numFmtId="0" fontId="10" fillId="8" borderId="1" xfId="0" applyFont="1" applyFill="1" applyBorder="1"/>
    <xf numFmtId="2" fontId="10" fillId="8" borderId="1" xfId="0" applyNumberFormat="1" applyFont="1" applyFill="1" applyBorder="1" applyAlignment="1">
      <alignment horizontal="left" vertical="center"/>
    </xf>
    <xf numFmtId="164" fontId="10" fillId="8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10" fillId="8" borderId="1" xfId="0" quotePrefix="1" applyFont="1" applyFill="1" applyBorder="1" applyAlignment="1">
      <alignment horizontal="center"/>
    </xf>
    <xf numFmtId="0" fontId="10" fillId="8" borderId="1" xfId="0" applyFont="1" applyFill="1" applyBorder="1" applyAlignment="1">
      <alignment vertical="center"/>
    </xf>
    <xf numFmtId="49" fontId="10" fillId="8" borderId="1" xfId="0" applyNumberFormat="1" applyFont="1" applyFill="1" applyBorder="1" applyAlignment="1">
      <alignment horizontal="center"/>
    </xf>
    <xf numFmtId="49" fontId="10" fillId="8" borderId="9" xfId="0" quotePrefix="1" applyNumberFormat="1" applyFont="1" applyFill="1" applyBorder="1" applyAlignment="1">
      <alignment horizontal="center"/>
    </xf>
    <xf numFmtId="0" fontId="10" fillId="8" borderId="9" xfId="0" applyFont="1" applyFill="1" applyBorder="1"/>
    <xf numFmtId="0" fontId="10" fillId="8" borderId="9" xfId="0" applyFont="1" applyFill="1" applyBorder="1" applyAlignment="1">
      <alignment horizontal="left" vertical="center"/>
    </xf>
    <xf numFmtId="164" fontId="10" fillId="8" borderId="9" xfId="0" applyNumberFormat="1" applyFont="1" applyFill="1" applyBorder="1" applyAlignment="1">
      <alignment horizontal="center" vertical="center"/>
    </xf>
    <xf numFmtId="0" fontId="1" fillId="13" borderId="39" xfId="0" applyFont="1" applyFill="1" applyBorder="1" applyAlignment="1">
      <alignment horizontal="center"/>
    </xf>
    <xf numFmtId="164" fontId="1" fillId="2" borderId="27" xfId="0" applyNumberFormat="1" applyFont="1" applyFill="1" applyBorder="1" applyAlignment="1">
      <alignment horizontal="center"/>
    </xf>
    <xf numFmtId="0" fontId="10" fillId="11" borderId="31" xfId="0" applyFont="1" applyFill="1" applyBorder="1"/>
    <xf numFmtId="0" fontId="1" fillId="11" borderId="31" xfId="0" applyFont="1" applyFill="1" applyBorder="1" applyAlignment="1">
      <alignment horizontal="center"/>
    </xf>
    <xf numFmtId="164" fontId="1" fillId="11" borderId="31" xfId="0" applyNumberFormat="1" applyFont="1" applyFill="1" applyBorder="1" applyAlignment="1">
      <alignment horizontal="center"/>
    </xf>
    <xf numFmtId="0" fontId="10" fillId="11" borderId="41" xfId="0" applyFont="1" applyFill="1" applyBorder="1"/>
    <xf numFmtId="14" fontId="11" fillId="14" borderId="41" xfId="0" applyNumberFormat="1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1" fillId="14" borderId="42" xfId="0" applyNumberFormat="1" applyFont="1" applyFill="1" applyBorder="1" applyAlignment="1">
      <alignment horizontal="center"/>
    </xf>
    <xf numFmtId="0" fontId="1" fillId="8" borderId="52" xfId="0" applyFont="1" applyFill="1" applyBorder="1" applyAlignment="1">
      <alignment vertical="center"/>
    </xf>
    <xf numFmtId="0" fontId="1" fillId="2" borderId="39" xfId="0" applyFont="1" applyFill="1" applyBorder="1" applyAlignment="1">
      <alignment horizontal="center"/>
    </xf>
    <xf numFmtId="0" fontId="10" fillId="11" borderId="31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3" fontId="1" fillId="2" borderId="27" xfId="0" applyNumberFormat="1" applyFont="1" applyFill="1" applyBorder="1" applyAlignment="1">
      <alignment horizontal="center" vertical="center"/>
    </xf>
    <xf numFmtId="3" fontId="1" fillId="2" borderId="28" xfId="0" applyNumberFormat="1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right"/>
    </xf>
    <xf numFmtId="0" fontId="10" fillId="8" borderId="31" xfId="0" applyFont="1" applyFill="1" applyBorder="1"/>
    <xf numFmtId="164" fontId="10" fillId="8" borderId="1" xfId="0" applyNumberFormat="1" applyFont="1" applyFill="1" applyBorder="1" applyAlignment="1">
      <alignment horizontal="center"/>
    </xf>
    <xf numFmtId="164" fontId="10" fillId="11" borderId="31" xfId="0" applyNumberFormat="1" applyFont="1" applyFill="1" applyBorder="1" applyAlignment="1">
      <alignment horizontal="center"/>
    </xf>
    <xf numFmtId="0" fontId="10" fillId="11" borderId="24" xfId="0" applyFont="1" applyFill="1" applyBorder="1" applyAlignment="1">
      <alignment horizontal="center"/>
    </xf>
    <xf numFmtId="164" fontId="10" fillId="11" borderId="9" xfId="0" applyNumberFormat="1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164" fontId="10" fillId="8" borderId="9" xfId="0" applyNumberFormat="1" applyFont="1" applyFill="1" applyBorder="1" applyAlignment="1">
      <alignment horizontal="center"/>
    </xf>
    <xf numFmtId="0" fontId="1" fillId="11" borderId="0" xfId="0" applyFont="1" applyFill="1" applyBorder="1" applyAlignment="1">
      <alignment vertical="center"/>
    </xf>
    <xf numFmtId="0" fontId="1" fillId="3" borderId="27" xfId="0" applyFont="1" applyFill="1" applyBorder="1" applyAlignment="1">
      <alignment vertical="center"/>
    </xf>
    <xf numFmtId="0" fontId="1" fillId="3" borderId="51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0" fontId="8" fillId="8" borderId="24" xfId="0" applyFont="1" applyFill="1" applyBorder="1"/>
    <xf numFmtId="0" fontId="2" fillId="13" borderId="24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/>
    </xf>
    <xf numFmtId="0" fontId="8" fillId="11" borderId="31" xfId="0" applyFont="1" applyFill="1" applyBorder="1" applyAlignment="1">
      <alignment horizontal="left" vertical="center"/>
    </xf>
    <xf numFmtId="0" fontId="8" fillId="11" borderId="3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left" vertical="center"/>
    </xf>
    <xf numFmtId="0" fontId="8" fillId="8" borderId="31" xfId="0" applyFont="1" applyFill="1" applyBorder="1"/>
    <xf numFmtId="0" fontId="8" fillId="8" borderId="31" xfId="0" applyFont="1" applyFill="1" applyBorder="1" applyAlignment="1">
      <alignment wrapText="1"/>
    </xf>
    <xf numFmtId="0" fontId="8" fillId="8" borderId="31" xfId="0" applyFont="1" applyFill="1" applyBorder="1" applyAlignment="1">
      <alignment horizontal="left"/>
    </xf>
    <xf numFmtId="0" fontId="15" fillId="0" borderId="0" xfId="0" applyFont="1"/>
    <xf numFmtId="0" fontId="9" fillId="0" borderId="0" xfId="0" applyFont="1"/>
    <xf numFmtId="0" fontId="9" fillId="0" borderId="0" xfId="0" applyFont="1" applyBorder="1"/>
    <xf numFmtId="49" fontId="10" fillId="8" borderId="9" xfId="0" applyNumberFormat="1" applyFont="1" applyFill="1" applyBorder="1" applyAlignment="1">
      <alignment horizontal="center"/>
    </xf>
    <xf numFmtId="0" fontId="10" fillId="8" borderId="9" xfId="0" applyFont="1" applyFill="1" applyBorder="1" applyAlignment="1">
      <alignment vertical="center"/>
    </xf>
    <xf numFmtId="14" fontId="11" fillId="14" borderId="55" xfId="0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/>
    </xf>
    <xf numFmtId="0" fontId="1" fillId="11" borderId="24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left"/>
    </xf>
    <xf numFmtId="0" fontId="13" fillId="14" borderId="11" xfId="0" applyFont="1" applyFill="1" applyBorder="1" applyAlignment="1">
      <alignment horizontal="left"/>
    </xf>
    <xf numFmtId="0" fontId="1" fillId="13" borderId="20" xfId="0" applyFont="1" applyFill="1" applyBorder="1" applyAlignment="1">
      <alignment horizontal="center"/>
    </xf>
    <xf numFmtId="0" fontId="2" fillId="5" borderId="19" xfId="0" applyFont="1" applyFill="1" applyBorder="1" applyAlignment="1">
      <alignment horizontal="center" vertical="center"/>
    </xf>
    <xf numFmtId="165" fontId="1" fillId="7" borderId="40" xfId="0" applyNumberFormat="1" applyFont="1" applyFill="1" applyBorder="1" applyAlignment="1">
      <alignment horizontal="right" vertical="center"/>
    </xf>
    <xf numFmtId="165" fontId="8" fillId="11" borderId="41" xfId="0" applyNumberFormat="1" applyFont="1" applyFill="1" applyBorder="1" applyAlignment="1">
      <alignment horizontal="right" vertical="center"/>
    </xf>
    <xf numFmtId="165" fontId="10" fillId="11" borderId="41" xfId="0" applyNumberFormat="1" applyFont="1" applyFill="1" applyBorder="1" applyAlignment="1">
      <alignment horizontal="right" vertical="center"/>
    </xf>
    <xf numFmtId="165" fontId="10" fillId="11" borderId="55" xfId="0" applyNumberFormat="1" applyFont="1" applyFill="1" applyBorder="1" applyAlignment="1">
      <alignment vertical="center"/>
    </xf>
    <xf numFmtId="165" fontId="10" fillId="11" borderId="55" xfId="0" applyNumberFormat="1" applyFont="1" applyFill="1" applyBorder="1" applyAlignment="1">
      <alignment horizontal="right" vertical="center"/>
    </xf>
    <xf numFmtId="165" fontId="1" fillId="2" borderId="39" xfId="0" applyNumberFormat="1" applyFont="1" applyFill="1" applyBorder="1" applyAlignment="1">
      <alignment horizontal="right" vertical="center"/>
    </xf>
    <xf numFmtId="165" fontId="1" fillId="11" borderId="58" xfId="0" applyNumberFormat="1" applyFont="1" applyFill="1" applyBorder="1" applyAlignment="1">
      <alignment horizontal="right" vertical="center"/>
    </xf>
    <xf numFmtId="165" fontId="1" fillId="11" borderId="41" xfId="0" applyNumberFormat="1" applyFont="1" applyFill="1" applyBorder="1" applyAlignment="1">
      <alignment horizontal="right" vertical="center"/>
    </xf>
    <xf numFmtId="165" fontId="13" fillId="14" borderId="41" xfId="0" applyNumberFormat="1" applyFont="1" applyFill="1" applyBorder="1"/>
    <xf numFmtId="165" fontId="10" fillId="11" borderId="58" xfId="0" applyNumberFormat="1" applyFont="1" applyFill="1" applyBorder="1" applyAlignment="1">
      <alignment horizontal="right" vertical="center"/>
    </xf>
    <xf numFmtId="165" fontId="1" fillId="2" borderId="42" xfId="0" applyNumberFormat="1" applyFont="1" applyFill="1" applyBorder="1" applyAlignment="1">
      <alignment horizontal="right" vertical="center"/>
    </xf>
    <xf numFmtId="0" fontId="8" fillId="11" borderId="2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11" xfId="0" applyFont="1" applyFill="1" applyBorder="1" applyAlignment="1">
      <alignment horizontal="center" vertical="center"/>
    </xf>
    <xf numFmtId="0" fontId="10" fillId="8" borderId="24" xfId="0" applyFont="1" applyFill="1" applyBorder="1" applyAlignment="1">
      <alignment horizontal="center"/>
    </xf>
    <xf numFmtId="0" fontId="8" fillId="8" borderId="5" xfId="0" applyFont="1" applyFill="1" applyBorder="1"/>
    <xf numFmtId="0" fontId="8" fillId="8" borderId="11" xfId="0" applyFont="1" applyFill="1" applyBorder="1"/>
    <xf numFmtId="0" fontId="1" fillId="11" borderId="5" xfId="0" applyFont="1" applyFill="1" applyBorder="1" applyAlignment="1">
      <alignment horizontal="center" vertical="center"/>
    </xf>
    <xf numFmtId="0" fontId="10" fillId="8" borderId="24" xfId="0" applyFont="1" applyFill="1" applyBorder="1"/>
    <xf numFmtId="0" fontId="1" fillId="11" borderId="40" xfId="0" applyFont="1" applyFill="1" applyBorder="1" applyAlignment="1">
      <alignment vertical="center"/>
    </xf>
    <xf numFmtId="165" fontId="10" fillId="11" borderId="58" xfId="0" applyNumberFormat="1" applyFont="1" applyFill="1" applyBorder="1" applyAlignment="1">
      <alignment vertical="center"/>
    </xf>
    <xf numFmtId="0" fontId="1" fillId="11" borderId="58" xfId="0" applyFont="1" applyFill="1" applyBorder="1" applyAlignment="1">
      <alignment vertical="center"/>
    </xf>
    <xf numFmtId="165" fontId="10" fillId="8" borderId="58" xfId="0" applyNumberFormat="1" applyFont="1" applyFill="1" applyBorder="1" applyAlignment="1">
      <alignment horizontal="right"/>
    </xf>
    <xf numFmtId="165" fontId="10" fillId="8" borderId="41" xfId="0" applyNumberFormat="1" applyFont="1" applyFill="1" applyBorder="1" applyAlignment="1">
      <alignment horizontal="right"/>
    </xf>
    <xf numFmtId="165" fontId="10" fillId="8" borderId="55" xfId="0" applyNumberFormat="1" applyFont="1" applyFill="1" applyBorder="1" applyAlignment="1">
      <alignment horizontal="right"/>
    </xf>
    <xf numFmtId="165" fontId="10" fillId="2" borderId="27" xfId="0" applyNumberFormat="1" applyFont="1" applyFill="1" applyBorder="1" applyAlignment="1">
      <alignment horizontal="center" vertical="center"/>
    </xf>
    <xf numFmtId="0" fontId="8" fillId="8" borderId="43" xfId="0" applyFont="1" applyFill="1" applyBorder="1" applyAlignment="1">
      <alignment horizontal="right"/>
    </xf>
    <xf numFmtId="0" fontId="2" fillId="8" borderId="43" xfId="0" applyFont="1" applyFill="1" applyBorder="1" applyAlignment="1">
      <alignment horizontal="right"/>
    </xf>
    <xf numFmtId="0" fontId="8" fillId="8" borderId="45" xfId="0" applyFont="1" applyFill="1" applyBorder="1" applyAlignment="1">
      <alignment horizontal="right"/>
    </xf>
    <xf numFmtId="0" fontId="8" fillId="8" borderId="53" xfId="0" applyFont="1" applyFill="1" applyBorder="1" applyAlignment="1">
      <alignment horizontal="right"/>
    </xf>
    <xf numFmtId="0" fontId="10" fillId="11" borderId="23" xfId="0" applyFont="1" applyFill="1" applyBorder="1" applyAlignment="1">
      <alignment horizontal="center"/>
    </xf>
    <xf numFmtId="0" fontId="10" fillId="11" borderId="25" xfId="0" applyFont="1" applyFill="1" applyBorder="1" applyAlignment="1">
      <alignment horizontal="center"/>
    </xf>
    <xf numFmtId="0" fontId="1" fillId="11" borderId="25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7" fillId="2" borderId="22" xfId="0" applyFont="1" applyFill="1" applyBorder="1" applyAlignment="1">
      <alignment vertical="center"/>
    </xf>
    <xf numFmtId="0" fontId="4" fillId="17" borderId="21" xfId="0" applyFont="1" applyFill="1" applyBorder="1" applyAlignment="1">
      <alignment vertical="center"/>
    </xf>
    <xf numFmtId="0" fontId="4" fillId="17" borderId="22" xfId="0" applyFont="1" applyFill="1" applyBorder="1" applyAlignment="1">
      <alignment vertical="center"/>
    </xf>
    <xf numFmtId="0" fontId="14" fillId="2" borderId="32" xfId="0" applyFont="1" applyFill="1" applyBorder="1" applyAlignment="1">
      <alignment vertical="center"/>
    </xf>
    <xf numFmtId="0" fontId="14" fillId="2" borderId="21" xfId="0" applyFont="1" applyFill="1" applyBorder="1" applyAlignment="1">
      <alignment vertical="center"/>
    </xf>
    <xf numFmtId="0" fontId="14" fillId="2" borderId="22" xfId="0" applyFont="1" applyFill="1" applyBorder="1" applyAlignment="1">
      <alignment vertical="center"/>
    </xf>
    <xf numFmtId="0" fontId="2" fillId="18" borderId="27" xfId="0" applyFont="1" applyFill="1" applyBorder="1" applyAlignment="1">
      <alignment vertical="center"/>
    </xf>
    <xf numFmtId="0" fontId="2" fillId="18" borderId="38" xfId="0" applyFont="1" applyFill="1" applyBorder="1" applyAlignment="1">
      <alignment horizontal="center" vertical="center"/>
    </xf>
    <xf numFmtId="0" fontId="2" fillId="18" borderId="37" xfId="0" applyFont="1" applyFill="1" applyBorder="1" applyAlignment="1">
      <alignment horizontal="center" vertical="center"/>
    </xf>
    <xf numFmtId="0" fontId="2" fillId="18" borderId="54" xfId="0" applyFont="1" applyFill="1" applyBorder="1" applyAlignment="1">
      <alignment horizontal="center" vertical="center"/>
    </xf>
    <xf numFmtId="0" fontId="7" fillId="18" borderId="38" xfId="0" applyFont="1" applyFill="1" applyBorder="1" applyAlignment="1">
      <alignment horizontal="center" vertical="center"/>
    </xf>
    <xf numFmtId="0" fontId="2" fillId="18" borderId="29" xfId="0" applyFont="1" applyFill="1" applyBorder="1" applyAlignment="1">
      <alignment horizontal="center" vertical="center"/>
    </xf>
    <xf numFmtId="0" fontId="2" fillId="18" borderId="28" xfId="0" applyFont="1" applyFill="1" applyBorder="1" applyAlignment="1">
      <alignment horizontal="center" vertical="center"/>
    </xf>
    <xf numFmtId="0" fontId="2" fillId="18" borderId="26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164" fontId="2" fillId="8" borderId="31" xfId="0" applyNumberFormat="1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1" fontId="2" fillId="8" borderId="31" xfId="0" applyNumberFormat="1" applyFont="1" applyFill="1" applyBorder="1" applyAlignment="1">
      <alignment horizontal="center" vertical="center"/>
    </xf>
    <xf numFmtId="164" fontId="17" fillId="8" borderId="31" xfId="0" applyNumberFormat="1" applyFont="1" applyFill="1" applyBorder="1" applyAlignment="1">
      <alignment horizontal="center" vertical="center"/>
    </xf>
    <xf numFmtId="0" fontId="2" fillId="18" borderId="30" xfId="0" applyFont="1" applyFill="1" applyBorder="1" applyAlignment="1">
      <alignment horizontal="center" vertical="center"/>
    </xf>
    <xf numFmtId="0" fontId="2" fillId="18" borderId="24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164" fontId="2" fillId="8" borderId="4" xfId="0" applyNumberFormat="1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164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164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8" borderId="11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center" vertical="center"/>
    </xf>
    <xf numFmtId="164" fontId="2" fillId="12" borderId="26" xfId="0" applyNumberFormat="1" applyFont="1" applyFill="1" applyBorder="1" applyAlignment="1">
      <alignment horizontal="center" vertical="center"/>
    </xf>
    <xf numFmtId="1" fontId="2" fillId="12" borderId="26" xfId="0" applyNumberFormat="1" applyFont="1" applyFill="1" applyBorder="1" applyAlignment="1">
      <alignment horizontal="center" vertical="center"/>
    </xf>
    <xf numFmtId="1" fontId="1" fillId="12" borderId="26" xfId="0" applyNumberFormat="1" applyFont="1" applyFill="1" applyBorder="1" applyAlignment="1">
      <alignment horizontal="center" vertical="center"/>
    </xf>
    <xf numFmtId="0" fontId="2" fillId="12" borderId="29" xfId="0" applyFont="1" applyFill="1" applyBorder="1" applyAlignment="1">
      <alignment horizontal="center" vertical="center"/>
    </xf>
    <xf numFmtId="164" fontId="2" fillId="12" borderId="28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18" fillId="10" borderId="21" xfId="0" applyFont="1" applyFill="1" applyBorder="1" applyAlignment="1">
      <alignment vertical="center"/>
    </xf>
    <xf numFmtId="0" fontId="18" fillId="10" borderId="22" xfId="0" applyFont="1" applyFill="1" applyBorder="1" applyAlignment="1">
      <alignment vertical="center"/>
    </xf>
    <xf numFmtId="0" fontId="2" fillId="18" borderId="21" xfId="0" applyFont="1" applyFill="1" applyBorder="1" applyAlignment="1">
      <alignment vertical="center"/>
    </xf>
    <xf numFmtId="0" fontId="2" fillId="18" borderId="29" xfId="0" applyFont="1" applyFill="1" applyBorder="1" applyAlignment="1">
      <alignment vertical="center"/>
    </xf>
    <xf numFmtId="0" fontId="2" fillId="18" borderId="32" xfId="0" applyFont="1" applyFill="1" applyBorder="1" applyAlignment="1">
      <alignment horizontal="center" vertical="center"/>
    </xf>
    <xf numFmtId="0" fontId="7" fillId="18" borderId="26" xfId="0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18" borderId="2" xfId="0" applyFont="1" applyFill="1" applyBorder="1"/>
    <xf numFmtId="0" fontId="2" fillId="18" borderId="5" xfId="0" applyFont="1" applyFill="1" applyBorder="1"/>
    <xf numFmtId="0" fontId="2" fillId="8" borderId="7" xfId="0" applyFont="1" applyFill="1" applyBorder="1"/>
    <xf numFmtId="0" fontId="2" fillId="8" borderId="3" xfId="0" applyFont="1" applyFill="1" applyBorder="1"/>
    <xf numFmtId="0" fontId="2" fillId="8" borderId="2" xfId="0" applyFont="1" applyFill="1" applyBorder="1"/>
    <xf numFmtId="1" fontId="2" fillId="12" borderId="28" xfId="0" applyNumberFormat="1" applyFont="1" applyFill="1" applyBorder="1" applyAlignment="1">
      <alignment horizontal="center" vertical="center"/>
    </xf>
    <xf numFmtId="0" fontId="2" fillId="12" borderId="28" xfId="0" applyFont="1" applyFill="1" applyBorder="1" applyAlignment="1">
      <alignment horizontal="center" vertical="center"/>
    </xf>
    <xf numFmtId="14" fontId="20" fillId="14" borderId="6" xfId="0" applyNumberFormat="1" applyFont="1" applyFill="1" applyBorder="1" applyAlignment="1">
      <alignment horizontal="center"/>
    </xf>
    <xf numFmtId="14" fontId="20" fillId="14" borderId="5" xfId="0" applyNumberFormat="1" applyFont="1" applyFill="1" applyBorder="1" applyAlignment="1">
      <alignment horizontal="center"/>
    </xf>
    <xf numFmtId="0" fontId="2" fillId="12" borderId="26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left" vertical="center"/>
    </xf>
    <xf numFmtId="0" fontId="1" fillId="11" borderId="43" xfId="0" applyFont="1" applyFill="1" applyBorder="1" applyAlignment="1">
      <alignment horizontal="left" vertical="center"/>
    </xf>
    <xf numFmtId="0" fontId="10" fillId="13" borderId="21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/>
    </xf>
    <xf numFmtId="0" fontId="10" fillId="11" borderId="56" xfId="0" applyFont="1" applyFill="1" applyBorder="1"/>
    <xf numFmtId="0" fontId="2" fillId="5" borderId="31" xfId="0" applyFont="1" applyFill="1" applyBorder="1" applyAlignment="1">
      <alignment horizontal="center" vertical="center"/>
    </xf>
    <xf numFmtId="0" fontId="19" fillId="11" borderId="6" xfId="0" applyFont="1" applyFill="1" applyBorder="1"/>
    <xf numFmtId="0" fontId="2" fillId="12" borderId="46" xfId="0" applyFont="1" applyFill="1" applyBorder="1" applyAlignment="1">
      <alignment horizontal="center" vertical="center"/>
    </xf>
    <xf numFmtId="0" fontId="1" fillId="12" borderId="47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12" borderId="20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center"/>
    </xf>
    <xf numFmtId="0" fontId="1" fillId="11" borderId="3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2" fillId="18" borderId="29" xfId="0" applyFont="1" applyFill="1" applyBorder="1" applyAlignment="1">
      <alignment horizontal="center" vertical="center"/>
    </xf>
    <xf numFmtId="0" fontId="2" fillId="18" borderId="28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/>
    </xf>
    <xf numFmtId="165" fontId="10" fillId="11" borderId="31" xfId="0" applyNumberFormat="1" applyFont="1" applyFill="1" applyBorder="1" applyAlignment="1">
      <alignment horizontal="center"/>
    </xf>
    <xf numFmtId="165" fontId="10" fillId="11" borderId="24" xfId="0" applyNumberFormat="1" applyFont="1" applyFill="1" applyBorder="1" applyAlignment="1">
      <alignment horizontal="center"/>
    </xf>
    <xf numFmtId="165" fontId="10" fillId="11" borderId="1" xfId="0" applyNumberFormat="1" applyFont="1" applyFill="1" applyBorder="1" applyAlignment="1">
      <alignment horizontal="center"/>
    </xf>
    <xf numFmtId="165" fontId="10" fillId="11" borderId="5" xfId="0" applyNumberFormat="1" applyFont="1" applyFill="1" applyBorder="1" applyAlignment="1">
      <alignment horizontal="center"/>
    </xf>
    <xf numFmtId="164" fontId="1" fillId="2" borderId="27" xfId="0" applyNumberFormat="1" applyFont="1" applyFill="1" applyBorder="1" applyAlignment="1">
      <alignment horizontal="center" vertical="center"/>
    </xf>
    <xf numFmtId="0" fontId="4" fillId="18" borderId="28" xfId="0" applyFont="1" applyFill="1" applyBorder="1" applyAlignment="1">
      <alignment horizontal="center" vertical="center"/>
    </xf>
    <xf numFmtId="0" fontId="1" fillId="11" borderId="41" xfId="0" applyFont="1" applyFill="1" applyBorder="1" applyAlignment="1">
      <alignment vertical="center"/>
    </xf>
    <xf numFmtId="0" fontId="1" fillId="11" borderId="10" xfId="0" applyFont="1" applyFill="1" applyBorder="1" applyAlignment="1">
      <alignment vertical="center"/>
    </xf>
    <xf numFmtId="0" fontId="1" fillId="11" borderId="31" xfId="0" applyFont="1" applyFill="1" applyBorder="1" applyAlignment="1">
      <alignment vertical="center"/>
    </xf>
    <xf numFmtId="0" fontId="1" fillId="8" borderId="9" xfId="0" applyFont="1" applyFill="1" applyBorder="1" applyAlignment="1">
      <alignment horizontal="center"/>
    </xf>
    <xf numFmtId="0" fontId="1" fillId="8" borderId="11" xfId="0" applyFont="1" applyFill="1" applyBorder="1" applyAlignment="1">
      <alignment horizontal="center"/>
    </xf>
    <xf numFmtId="165" fontId="1" fillId="2" borderId="39" xfId="0" applyNumberFormat="1" applyFont="1" applyFill="1" applyBorder="1" applyAlignment="1">
      <alignment horizontal="right"/>
    </xf>
    <xf numFmtId="0" fontId="1" fillId="3" borderId="46" xfId="0" applyFont="1" applyFill="1" applyBorder="1" applyAlignment="1">
      <alignment vertical="center"/>
    </xf>
    <xf numFmtId="0" fontId="1" fillId="3" borderId="47" xfId="0" applyFont="1" applyFill="1" applyBorder="1" applyAlignment="1">
      <alignment vertical="center"/>
    </xf>
    <xf numFmtId="0" fontId="2" fillId="12" borderId="25" xfId="0" applyFont="1" applyFill="1" applyBorder="1" applyAlignment="1">
      <alignment horizontal="center" vertical="center"/>
    </xf>
    <xf numFmtId="0" fontId="1" fillId="12" borderId="39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vertical="center"/>
    </xf>
    <xf numFmtId="164" fontId="1" fillId="2" borderId="29" xfId="0" applyNumberFormat="1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165" fontId="10" fillId="11" borderId="55" xfId="0" applyNumberFormat="1" applyFont="1" applyFill="1" applyBorder="1" applyAlignment="1">
      <alignment horizontal="right"/>
    </xf>
    <xf numFmtId="165" fontId="1" fillId="11" borderId="58" xfId="0" applyNumberFormat="1" applyFont="1" applyFill="1" applyBorder="1" applyAlignment="1">
      <alignment vertical="center"/>
    </xf>
    <xf numFmtId="0" fontId="4" fillId="5" borderId="32" xfId="0" applyFont="1" applyFill="1" applyBorder="1" applyAlignment="1">
      <alignment horizontal="center" vertical="center"/>
    </xf>
    <xf numFmtId="0" fontId="2" fillId="9" borderId="20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 vertical="center"/>
    </xf>
    <xf numFmtId="0" fontId="4" fillId="5" borderId="39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0" fontId="1" fillId="8" borderId="44" xfId="0" applyFont="1" applyFill="1" applyBorder="1" applyAlignment="1">
      <alignment vertical="center"/>
    </xf>
    <xf numFmtId="0" fontId="1" fillId="11" borderId="44" xfId="0" applyFont="1" applyFill="1" applyBorder="1" applyAlignment="1">
      <alignment vertical="center"/>
    </xf>
    <xf numFmtId="0" fontId="1" fillId="11" borderId="21" xfId="0" applyFont="1" applyFill="1" applyBorder="1" applyAlignment="1">
      <alignment vertical="center"/>
    </xf>
    <xf numFmtId="0" fontId="1" fillId="11" borderId="22" xfId="0" applyFont="1" applyFill="1" applyBorder="1" applyAlignment="1">
      <alignment vertical="center"/>
    </xf>
    <xf numFmtId="0" fontId="1" fillId="12" borderId="33" xfId="0" applyFont="1" applyFill="1" applyBorder="1" applyAlignment="1">
      <alignment vertical="center"/>
    </xf>
    <xf numFmtId="0" fontId="1" fillId="11" borderId="23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top"/>
    </xf>
    <xf numFmtId="0" fontId="1" fillId="11" borderId="56" xfId="0" applyFont="1" applyFill="1" applyBorder="1" applyAlignment="1">
      <alignment vertical="center"/>
    </xf>
    <xf numFmtId="0" fontId="1" fillId="5" borderId="39" xfId="0" applyFont="1" applyFill="1" applyBorder="1" applyAlignment="1">
      <alignment horizontal="center"/>
    </xf>
    <xf numFmtId="0" fontId="12" fillId="15" borderId="39" xfId="0" applyFont="1" applyFill="1" applyBorder="1" applyAlignment="1">
      <alignment horizontal="center"/>
    </xf>
    <xf numFmtId="165" fontId="13" fillId="14" borderId="55" xfId="0" applyNumberFormat="1" applyFont="1" applyFill="1" applyBorder="1"/>
    <xf numFmtId="165" fontId="10" fillId="11" borderId="52" xfId="0" applyNumberFormat="1" applyFont="1" applyFill="1" applyBorder="1" applyAlignment="1">
      <alignment horizontal="right" vertical="center"/>
    </xf>
    <xf numFmtId="165" fontId="10" fillId="11" borderId="9" xfId="0" applyNumberFormat="1" applyFont="1" applyFill="1" applyBorder="1" applyAlignment="1">
      <alignment horizontal="center"/>
    </xf>
    <xf numFmtId="165" fontId="10" fillId="11" borderId="11" xfId="0" applyNumberFormat="1" applyFont="1" applyFill="1" applyBorder="1" applyAlignment="1">
      <alignment horizontal="center"/>
    </xf>
    <xf numFmtId="0" fontId="10" fillId="11" borderId="56" xfId="0" applyFont="1" applyFill="1" applyBorder="1" applyAlignment="1">
      <alignment horizontal="center"/>
    </xf>
    <xf numFmtId="165" fontId="1" fillId="2" borderId="29" xfId="0" applyNumberFormat="1" applyFont="1" applyFill="1" applyBorder="1" applyAlignment="1">
      <alignment horizontal="center"/>
    </xf>
    <xf numFmtId="165" fontId="1" fillId="2" borderId="32" xfId="0" applyNumberFormat="1" applyFont="1" applyFill="1" applyBorder="1" applyAlignment="1">
      <alignment horizontal="center"/>
    </xf>
    <xf numFmtId="0" fontId="14" fillId="21" borderId="39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vertical="center"/>
    </xf>
    <xf numFmtId="0" fontId="1" fillId="11" borderId="12" xfId="0" applyFont="1" applyFill="1" applyBorder="1" applyAlignment="1">
      <alignment vertical="center"/>
    </xf>
    <xf numFmtId="0" fontId="1" fillId="8" borderId="45" xfId="0" applyFont="1" applyFill="1" applyBorder="1" applyAlignment="1">
      <alignment vertical="center"/>
    </xf>
    <xf numFmtId="0" fontId="2" fillId="12" borderId="20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vertical="center"/>
    </xf>
    <xf numFmtId="0" fontId="1" fillId="8" borderId="18" xfId="0" applyFont="1" applyFill="1" applyBorder="1" applyAlignment="1">
      <alignment vertical="center"/>
    </xf>
    <xf numFmtId="0" fontId="2" fillId="18" borderId="15" xfId="0" applyFont="1" applyFill="1" applyBorder="1"/>
    <xf numFmtId="0" fontId="2" fillId="18" borderId="11" xfId="0" applyFont="1" applyFill="1" applyBorder="1"/>
    <xf numFmtId="164" fontId="1" fillId="12" borderId="28" xfId="0" applyNumberFormat="1" applyFont="1" applyFill="1" applyBorder="1" applyAlignment="1">
      <alignment horizontal="center" vertical="center"/>
    </xf>
    <xf numFmtId="0" fontId="1" fillId="11" borderId="25" xfId="0" applyFont="1" applyFill="1" applyBorder="1" applyAlignment="1">
      <alignment vertical="center"/>
    </xf>
    <xf numFmtId="0" fontId="1" fillId="11" borderId="23" xfId="0" applyFont="1" applyFill="1" applyBorder="1" applyAlignment="1">
      <alignment vertical="center"/>
    </xf>
    <xf numFmtId="0" fontId="1" fillId="11" borderId="7" xfId="0" applyFont="1" applyFill="1" applyBorder="1" applyAlignment="1">
      <alignment vertical="center"/>
    </xf>
    <xf numFmtId="0" fontId="2" fillId="11" borderId="23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8" fillId="11" borderId="25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vertical="center"/>
    </xf>
    <xf numFmtId="0" fontId="1" fillId="11" borderId="24" xfId="0" applyFont="1" applyFill="1" applyBorder="1" applyAlignment="1">
      <alignment vertical="center"/>
    </xf>
    <xf numFmtId="0" fontId="1" fillId="11" borderId="5" xfId="0" applyFont="1" applyFill="1" applyBorder="1" applyAlignment="1">
      <alignment vertical="center"/>
    </xf>
    <xf numFmtId="0" fontId="10" fillId="8" borderId="23" xfId="0" applyFont="1" applyFill="1" applyBorder="1" applyAlignment="1">
      <alignment vertical="center"/>
    </xf>
    <xf numFmtId="0" fontId="10" fillId="8" borderId="7" xfId="0" applyFont="1" applyFill="1" applyBorder="1" applyAlignment="1">
      <alignment vertical="center"/>
    </xf>
    <xf numFmtId="164" fontId="10" fillId="8" borderId="23" xfId="0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vertical="center"/>
    </xf>
    <xf numFmtId="0" fontId="8" fillId="8" borderId="7" xfId="0" applyFont="1" applyFill="1" applyBorder="1" applyAlignment="1">
      <alignment vertical="center"/>
    </xf>
    <xf numFmtId="0" fontId="1" fillId="11" borderId="6" xfId="0" applyFont="1" applyFill="1" applyBorder="1" applyAlignment="1">
      <alignment vertical="center"/>
    </xf>
    <xf numFmtId="0" fontId="1" fillId="11" borderId="43" xfId="0" applyFont="1" applyFill="1" applyBorder="1" applyAlignment="1">
      <alignment vertical="center"/>
    </xf>
    <xf numFmtId="0" fontId="8" fillId="8" borderId="23" xfId="0" applyFont="1" applyFill="1" applyBorder="1" applyAlignment="1">
      <alignment vertical="center"/>
    </xf>
    <xf numFmtId="0" fontId="8" fillId="8" borderId="24" xfId="0" applyFont="1" applyFill="1" applyBorder="1" applyAlignment="1">
      <alignment vertical="center"/>
    </xf>
    <xf numFmtId="0" fontId="2" fillId="11" borderId="56" xfId="0" applyFont="1" applyFill="1" applyBorder="1" applyAlignment="1">
      <alignment vertical="center"/>
    </xf>
    <xf numFmtId="0" fontId="8" fillId="8" borderId="5" xfId="0" applyFont="1" applyFill="1" applyBorder="1" applyAlignment="1">
      <alignment vertical="center"/>
    </xf>
    <xf numFmtId="0" fontId="10" fillId="11" borderId="6" xfId="0" applyFont="1" applyFill="1" applyBorder="1" applyAlignment="1">
      <alignment vertical="center"/>
    </xf>
    <xf numFmtId="0" fontId="10" fillId="11" borderId="7" xfId="0" applyFont="1" applyFill="1" applyBorder="1" applyAlignment="1">
      <alignment vertical="center"/>
    </xf>
    <xf numFmtId="0" fontId="10" fillId="11" borderId="18" xfId="0" applyFont="1" applyFill="1" applyBorder="1" applyAlignment="1">
      <alignment vertical="center"/>
    </xf>
    <xf numFmtId="0" fontId="10" fillId="11" borderId="23" xfId="0" applyFont="1" applyFill="1" applyBorder="1" applyAlignment="1">
      <alignment vertical="center"/>
    </xf>
    <xf numFmtId="0" fontId="8" fillId="8" borderId="23" xfId="0" applyFont="1" applyFill="1" applyBorder="1" applyAlignment="1">
      <alignment horizontal="left"/>
    </xf>
    <xf numFmtId="0" fontId="10" fillId="11" borderId="5" xfId="0" applyFont="1" applyFill="1" applyBorder="1" applyAlignment="1">
      <alignment vertical="center"/>
    </xf>
    <xf numFmtId="0" fontId="10" fillId="8" borderId="23" xfId="0" applyFont="1" applyFill="1" applyBorder="1"/>
    <xf numFmtId="0" fontId="10" fillId="11" borderId="24" xfId="0" applyFont="1" applyFill="1" applyBorder="1" applyAlignment="1">
      <alignment vertical="center"/>
    </xf>
    <xf numFmtId="0" fontId="1" fillId="11" borderId="20" xfId="0" applyFont="1" applyFill="1" applyBorder="1" applyAlignment="1">
      <alignment vertical="center"/>
    </xf>
    <xf numFmtId="0" fontId="2" fillId="12" borderId="33" xfId="0" applyFont="1" applyFill="1" applyBorder="1" applyAlignment="1">
      <alignment vertical="center"/>
    </xf>
    <xf numFmtId="0" fontId="2" fillId="16" borderId="33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10" fillId="8" borderId="24" xfId="0" applyFont="1" applyFill="1" applyBorder="1" applyAlignment="1">
      <alignment vertical="center"/>
    </xf>
    <xf numFmtId="0" fontId="10" fillId="11" borderId="25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4" fillId="12" borderId="46" xfId="0" applyFont="1" applyFill="1" applyBorder="1" applyAlignment="1">
      <alignment horizontal="center" vertical="center"/>
    </xf>
    <xf numFmtId="14" fontId="19" fillId="11" borderId="6" xfId="0" applyNumberFormat="1" applyFont="1" applyFill="1" applyBorder="1"/>
    <xf numFmtId="14" fontId="8" fillId="8" borderId="43" xfId="0" applyNumberFormat="1" applyFont="1" applyFill="1" applyBorder="1" applyAlignment="1">
      <alignment horizontal="right"/>
    </xf>
    <xf numFmtId="0" fontId="10" fillId="11" borderId="11" xfId="0" applyFont="1" applyFill="1" applyBorder="1" applyAlignment="1">
      <alignment horizontal="center"/>
    </xf>
    <xf numFmtId="0" fontId="10" fillId="11" borderId="25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0" fontId="10" fillId="8" borderId="5" xfId="0" applyFont="1" applyFill="1" applyBorder="1" applyAlignment="1">
      <alignment horizontal="center"/>
    </xf>
    <xf numFmtId="0" fontId="10" fillId="11" borderId="11" xfId="0" applyFont="1" applyFill="1" applyBorder="1" applyAlignment="1">
      <alignment horizontal="center"/>
    </xf>
    <xf numFmtId="0" fontId="10" fillId="11" borderId="25" xfId="0" applyFont="1" applyFill="1" applyBorder="1" applyAlignment="1">
      <alignment horizontal="center"/>
    </xf>
    <xf numFmtId="165" fontId="10" fillId="2" borderId="41" xfId="0" applyNumberFormat="1" applyFont="1" applyFill="1" applyBorder="1" applyAlignment="1">
      <alignment horizontal="right"/>
    </xf>
    <xf numFmtId="0" fontId="2" fillId="2" borderId="31" xfId="0" applyFont="1" applyFill="1" applyBorder="1" applyAlignment="1">
      <alignment horizontal="center" vertical="center"/>
    </xf>
    <xf numFmtId="164" fontId="2" fillId="2" borderId="31" xfId="0" applyNumberFormat="1" applyFont="1" applyFill="1" applyBorder="1" applyAlignment="1">
      <alignment horizontal="center" vertical="center"/>
    </xf>
    <xf numFmtId="165" fontId="10" fillId="2" borderId="55" xfId="0" applyNumberFormat="1" applyFont="1" applyFill="1" applyBorder="1" applyAlignment="1">
      <alignment horizontal="right"/>
    </xf>
    <xf numFmtId="0" fontId="2" fillId="2" borderId="30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10" fillId="2" borderId="55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165" fontId="10" fillId="22" borderId="55" xfId="0" applyNumberFormat="1" applyFont="1" applyFill="1" applyBorder="1" applyAlignment="1">
      <alignment vertical="center"/>
    </xf>
    <xf numFmtId="165" fontId="10" fillId="22" borderId="41" xfId="0" applyNumberFormat="1" applyFont="1" applyFill="1" applyBorder="1" applyAlignment="1">
      <alignment horizontal="right"/>
    </xf>
    <xf numFmtId="165" fontId="10" fillId="22" borderId="55" xfId="0" applyNumberFormat="1" applyFont="1" applyFill="1" applyBorder="1" applyAlignment="1">
      <alignment horizontal="right"/>
    </xf>
    <xf numFmtId="165" fontId="10" fillId="22" borderId="41" xfId="0" applyNumberFormat="1" applyFont="1" applyFill="1" applyBorder="1" applyAlignment="1">
      <alignment horizontal="right" vertical="center"/>
    </xf>
    <xf numFmtId="165" fontId="10" fillId="22" borderId="41" xfId="0" applyNumberFormat="1" applyFont="1" applyFill="1" applyBorder="1" applyAlignment="1">
      <alignment vertical="center"/>
    </xf>
    <xf numFmtId="165" fontId="10" fillId="22" borderId="58" xfId="0" applyNumberFormat="1" applyFont="1" applyFill="1" applyBorder="1" applyAlignment="1">
      <alignment horizontal="right"/>
    </xf>
    <xf numFmtId="165" fontId="10" fillId="22" borderId="58" xfId="0" applyNumberFormat="1" applyFont="1" applyFill="1" applyBorder="1" applyAlignment="1">
      <alignment horizontal="right" vertical="center"/>
    </xf>
    <xf numFmtId="165" fontId="10" fillId="22" borderId="1" xfId="0" applyNumberFormat="1" applyFont="1" applyFill="1" applyBorder="1" applyAlignment="1">
      <alignment horizontal="center"/>
    </xf>
    <xf numFmtId="165" fontId="13" fillId="23" borderId="41" xfId="0" applyNumberFormat="1" applyFont="1" applyFill="1" applyBorder="1"/>
    <xf numFmtId="0" fontId="10" fillId="8" borderId="5" xfId="0" applyFont="1" applyFill="1" applyBorder="1" applyAlignment="1">
      <alignment horizontal="center"/>
    </xf>
    <xf numFmtId="0" fontId="10" fillId="8" borderId="7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11" borderId="13" xfId="0" applyFont="1" applyFill="1" applyBorder="1" applyAlignment="1">
      <alignment horizontal="center"/>
    </xf>
    <xf numFmtId="0" fontId="10" fillId="11" borderId="7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25" xfId="0" applyFont="1" applyFill="1" applyBorder="1" applyAlignment="1">
      <alignment horizontal="center"/>
    </xf>
    <xf numFmtId="0" fontId="10" fillId="11" borderId="17" xfId="0" applyFont="1" applyFill="1" applyBorder="1" applyAlignment="1">
      <alignment horizontal="center"/>
    </xf>
    <xf numFmtId="0" fontId="10" fillId="11" borderId="23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left"/>
    </xf>
    <xf numFmtId="0" fontId="10" fillId="8" borderId="7" xfId="0" applyFont="1" applyFill="1" applyBorder="1" applyAlignment="1">
      <alignment horizontal="left"/>
    </xf>
    <xf numFmtId="0" fontId="10" fillId="11" borderId="13" xfId="0" applyFont="1" applyFill="1" applyBorder="1" applyAlignment="1">
      <alignment horizontal="left"/>
    </xf>
    <xf numFmtId="0" fontId="10" fillId="11" borderId="7" xfId="0" applyFont="1" applyFill="1" applyBorder="1" applyAlignment="1">
      <alignment horizontal="left"/>
    </xf>
    <xf numFmtId="0" fontId="10" fillId="8" borderId="17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1" fillId="8" borderId="20" xfId="0" applyFont="1" applyFill="1" applyBorder="1" applyAlignment="1">
      <alignment horizontal="center" vertical="center"/>
    </xf>
    <xf numFmtId="0" fontId="1" fillId="8" borderId="21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164" fontId="1" fillId="2" borderId="32" xfId="0" applyNumberFormat="1" applyFont="1" applyFill="1" applyBorder="1" applyAlignment="1">
      <alignment horizontal="center" vertical="center"/>
    </xf>
    <xf numFmtId="164" fontId="1" fillId="2" borderId="29" xfId="0" applyNumberFormat="1" applyFont="1" applyFill="1" applyBorder="1" applyAlignment="1">
      <alignment horizontal="center" vertical="center"/>
    </xf>
    <xf numFmtId="0" fontId="1" fillId="12" borderId="26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/>
    </xf>
    <xf numFmtId="0" fontId="1" fillId="12" borderId="28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1" fillId="12" borderId="22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left"/>
    </xf>
    <xf numFmtId="0" fontId="13" fillId="14" borderId="7" xfId="0" applyFont="1" applyFill="1" applyBorder="1" applyAlignment="1">
      <alignment horizontal="left"/>
    </xf>
    <xf numFmtId="0" fontId="7" fillId="2" borderId="62" xfId="0" applyFont="1" applyFill="1" applyBorder="1" applyAlignment="1">
      <alignment horizontal="center"/>
    </xf>
    <xf numFmtId="0" fontId="7" fillId="2" borderId="59" xfId="0" applyFont="1" applyFill="1" applyBorder="1" applyAlignment="1">
      <alignment horizontal="center"/>
    </xf>
    <xf numFmtId="0" fontId="7" fillId="2" borderId="63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1" fillId="12" borderId="22" xfId="0" applyFont="1" applyFill="1" applyBorder="1" applyAlignment="1">
      <alignment horizontal="center"/>
    </xf>
    <xf numFmtId="0" fontId="4" fillId="20" borderId="16" xfId="0" applyFont="1" applyFill="1" applyBorder="1" applyAlignment="1">
      <alignment horizontal="center" vertical="center"/>
    </xf>
    <xf numFmtId="0" fontId="4" fillId="20" borderId="25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6" xfId="0" applyFont="1" applyFill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top"/>
    </xf>
    <xf numFmtId="0" fontId="6" fillId="6" borderId="60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/>
    </xf>
    <xf numFmtId="0" fontId="2" fillId="5" borderId="24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/>
    </xf>
    <xf numFmtId="0" fontId="10" fillId="11" borderId="24" xfId="0" applyFont="1" applyFill="1" applyBorder="1" applyAlignment="1">
      <alignment horizontal="center"/>
    </xf>
    <xf numFmtId="0" fontId="10" fillId="11" borderId="18" xfId="0" applyFont="1" applyFill="1" applyBorder="1" applyAlignment="1">
      <alignment horizontal="center"/>
    </xf>
    <xf numFmtId="0" fontId="12" fillId="15" borderId="20" xfId="0" applyFont="1" applyFill="1" applyBorder="1" applyAlignment="1">
      <alignment horizontal="center"/>
    </xf>
    <xf numFmtId="0" fontId="12" fillId="15" borderId="21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27" xfId="0" applyFont="1" applyFill="1" applyBorder="1" applyAlignment="1">
      <alignment horizontal="center"/>
    </xf>
    <xf numFmtId="0" fontId="21" fillId="2" borderId="28" xfId="0" applyFont="1" applyFill="1" applyBorder="1" applyAlignment="1">
      <alignment horizontal="center"/>
    </xf>
    <xf numFmtId="0" fontId="1" fillId="4" borderId="38" xfId="0" applyFont="1" applyFill="1" applyBorder="1" applyAlignment="1">
      <alignment horizontal="center"/>
    </xf>
    <xf numFmtId="0" fontId="1" fillId="4" borderId="37" xfId="0" applyFont="1" applyFill="1" applyBorder="1" applyAlignment="1">
      <alignment horizontal="center"/>
    </xf>
    <xf numFmtId="0" fontId="1" fillId="4" borderId="61" xfId="0" applyFont="1" applyFill="1" applyBorder="1" applyAlignment="1">
      <alignment horizontal="center"/>
    </xf>
    <xf numFmtId="0" fontId="2" fillId="3" borderId="38" xfId="0" applyFont="1" applyFill="1" applyBorder="1" applyAlignment="1">
      <alignment horizontal="center" vertical="center"/>
    </xf>
    <xf numFmtId="0" fontId="2" fillId="3" borderId="61" xfId="0" applyFont="1" applyFill="1" applyBorder="1" applyAlignment="1">
      <alignment horizontal="center" vertical="center"/>
    </xf>
    <xf numFmtId="0" fontId="4" fillId="5" borderId="32" xfId="0" applyFont="1" applyFill="1" applyBorder="1" applyAlignment="1">
      <alignment horizontal="center" vertical="top"/>
    </xf>
    <xf numFmtId="0" fontId="4" fillId="5" borderId="29" xfId="0" applyFont="1" applyFill="1" applyBorder="1" applyAlignment="1">
      <alignment horizontal="center" vertical="top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7" fillId="3" borderId="14" xfId="0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3" fontId="1" fillId="2" borderId="20" xfId="0" applyNumberFormat="1" applyFont="1" applyFill="1" applyBorder="1" applyAlignment="1">
      <alignment horizontal="center" vertical="center"/>
    </xf>
    <xf numFmtId="3" fontId="1" fillId="2" borderId="21" xfId="0" applyNumberFormat="1" applyFont="1" applyFill="1" applyBorder="1" applyAlignment="1">
      <alignment horizontal="center" vertical="center"/>
    </xf>
    <xf numFmtId="3" fontId="1" fillId="2" borderId="29" xfId="0" applyNumberFormat="1" applyFont="1" applyFill="1" applyBorder="1" applyAlignment="1">
      <alignment horizontal="center" vertical="center"/>
    </xf>
    <xf numFmtId="0" fontId="2" fillId="12" borderId="20" xfId="0" applyFont="1" applyFill="1" applyBorder="1" applyAlignment="1">
      <alignment horizontal="center" vertical="center"/>
    </xf>
    <xf numFmtId="0" fontId="2" fillId="12" borderId="21" xfId="0" applyFont="1" applyFill="1" applyBorder="1" applyAlignment="1">
      <alignment horizontal="center" vertical="center"/>
    </xf>
    <xf numFmtId="0" fontId="2" fillId="12" borderId="22" xfId="0" applyFont="1" applyFill="1" applyBorder="1" applyAlignment="1">
      <alignment horizontal="center" vertical="center"/>
    </xf>
    <xf numFmtId="0" fontId="2" fillId="18" borderId="27" xfId="0" applyFont="1" applyFill="1" applyBorder="1" applyAlignment="1">
      <alignment horizontal="center" vertical="center"/>
    </xf>
    <xf numFmtId="0" fontId="2" fillId="18" borderId="29" xfId="0" applyFont="1" applyFill="1" applyBorder="1" applyAlignment="1">
      <alignment horizontal="center" vertical="center"/>
    </xf>
    <xf numFmtId="0" fontId="2" fillId="18" borderId="32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11" borderId="26" xfId="0" applyFont="1" applyFill="1" applyBorder="1" applyAlignment="1">
      <alignment horizontal="center" vertical="center"/>
    </xf>
    <xf numFmtId="0" fontId="7" fillId="11" borderId="27" xfId="0" applyFont="1" applyFill="1" applyBorder="1" applyAlignment="1">
      <alignment horizontal="center" vertical="center"/>
    </xf>
    <xf numFmtId="0" fontId="7" fillId="11" borderId="3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8" fillId="10" borderId="36" xfId="0" applyFont="1" applyFill="1" applyBorder="1" applyAlignment="1">
      <alignment horizontal="center" vertical="center"/>
    </xf>
    <xf numFmtId="0" fontId="18" fillId="10" borderId="35" xfId="0" applyFont="1" applyFill="1" applyBorder="1" applyAlignment="1">
      <alignment horizontal="center" vertical="center"/>
    </xf>
    <xf numFmtId="0" fontId="18" fillId="10" borderId="57" xfId="0" applyFont="1" applyFill="1" applyBorder="1" applyAlignment="1">
      <alignment horizontal="center" vertical="center"/>
    </xf>
    <xf numFmtId="0" fontId="2" fillId="18" borderId="26" xfId="0" applyFont="1" applyFill="1" applyBorder="1" applyAlignment="1">
      <alignment horizontal="center" vertical="center"/>
    </xf>
    <xf numFmtId="0" fontId="2" fillId="17" borderId="26" xfId="0" applyFont="1" applyFill="1" applyBorder="1" applyAlignment="1">
      <alignment horizontal="center" vertical="center"/>
    </xf>
    <xf numFmtId="0" fontId="2" fillId="17" borderId="27" xfId="0" applyFont="1" applyFill="1" applyBorder="1" applyAlignment="1">
      <alignment horizontal="center" vertical="center"/>
    </xf>
    <xf numFmtId="0" fontId="2" fillId="17" borderId="32" xfId="0" applyFont="1" applyFill="1" applyBorder="1" applyAlignment="1">
      <alignment horizontal="center" vertical="center"/>
    </xf>
    <xf numFmtId="0" fontId="16" fillId="19" borderId="20" xfId="0" applyFont="1" applyFill="1" applyBorder="1" applyAlignment="1">
      <alignment horizontal="center" vertical="center"/>
    </xf>
    <xf numFmtId="0" fontId="16" fillId="19" borderId="22" xfId="0" applyFont="1" applyFill="1" applyBorder="1" applyAlignment="1">
      <alignment horizontal="center" vertical="center"/>
    </xf>
    <xf numFmtId="0" fontId="2" fillId="18" borderId="28" xfId="0" applyFont="1" applyFill="1" applyBorder="1" applyAlignment="1">
      <alignment horizontal="center" vertical="center"/>
    </xf>
    <xf numFmtId="0" fontId="16" fillId="19" borderId="21" xfId="0" applyFont="1" applyFill="1" applyBorder="1" applyAlignment="1">
      <alignment horizontal="center"/>
    </xf>
    <xf numFmtId="0" fontId="16" fillId="19" borderId="22" xfId="0" applyFont="1" applyFill="1" applyBorder="1" applyAlignment="1">
      <alignment horizontal="center"/>
    </xf>
    <xf numFmtId="0" fontId="2" fillId="18" borderId="20" xfId="0" applyFont="1" applyFill="1" applyBorder="1" applyAlignment="1">
      <alignment horizontal="center" vertical="center"/>
    </xf>
    <xf numFmtId="0" fontId="2" fillId="18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73"/>
  <sheetViews>
    <sheetView topLeftCell="A34" zoomScale="42" zoomScaleNormal="42" workbookViewId="0">
      <selection activeCell="B38" sqref="A38:K74"/>
    </sheetView>
  </sheetViews>
  <sheetFormatPr defaultRowHeight="54.75" customHeight="1" x14ac:dyDescent="0.35"/>
  <cols>
    <col min="1" max="1" width="10.453125" customWidth="1"/>
    <col min="2" max="2" width="51.1796875" customWidth="1"/>
    <col min="3" max="3" width="34.7265625" customWidth="1"/>
    <col min="4" max="4" width="46" customWidth="1"/>
    <col min="5" max="5" width="44.7265625" customWidth="1"/>
    <col min="6" max="6" width="26" customWidth="1"/>
    <col min="7" max="7" width="30.453125" customWidth="1"/>
    <col min="8" max="8" width="42.54296875" customWidth="1"/>
    <col min="9" max="9" width="54.453125" customWidth="1"/>
    <col min="10" max="10" width="45.453125" customWidth="1"/>
    <col min="11" max="11" width="49.7265625" customWidth="1"/>
  </cols>
  <sheetData>
    <row r="1" spans="1:11" ht="49.5" customHeight="1" x14ac:dyDescent="0.9">
      <c r="A1" s="383" t="s">
        <v>0</v>
      </c>
      <c r="B1" s="384"/>
      <c r="C1" s="384"/>
      <c r="D1" s="384"/>
      <c r="E1" s="384"/>
      <c r="F1" s="384"/>
      <c r="G1" s="384"/>
      <c r="H1" s="384"/>
      <c r="I1" s="384"/>
      <c r="J1" s="384"/>
      <c r="K1" s="385"/>
    </row>
    <row r="2" spans="1:11" ht="85.5" customHeight="1" x14ac:dyDescent="1.65">
      <c r="A2" s="2" t="s">
        <v>33</v>
      </c>
      <c r="B2" s="10"/>
      <c r="C2" s="9"/>
      <c r="D2" s="400" t="s">
        <v>1</v>
      </c>
      <c r="E2" s="400"/>
      <c r="F2" s="400"/>
      <c r="G2" s="400"/>
      <c r="H2" s="400"/>
      <c r="I2" s="386" t="s">
        <v>66</v>
      </c>
      <c r="J2" s="387"/>
      <c r="K2" s="388"/>
    </row>
    <row r="3" spans="1:11" ht="60.75" customHeight="1" thickBot="1" x14ac:dyDescent="0.4">
      <c r="A3" s="3"/>
      <c r="B3" s="394"/>
      <c r="C3" s="395"/>
      <c r="D3" s="395"/>
      <c r="E3" s="395"/>
      <c r="F3" s="395"/>
      <c r="G3" s="395"/>
      <c r="H3" s="395"/>
      <c r="I3" s="396"/>
      <c r="J3" s="397"/>
      <c r="K3" s="86" t="s">
        <v>8</v>
      </c>
    </row>
    <row r="4" spans="1:11" ht="96.75" customHeight="1" thickBot="1" x14ac:dyDescent="0.4">
      <c r="A4" s="392" t="s">
        <v>52</v>
      </c>
      <c r="B4" s="393"/>
      <c r="C4" s="398"/>
      <c r="D4" s="399"/>
      <c r="E4" s="399"/>
      <c r="F4" s="399"/>
      <c r="G4" s="399"/>
      <c r="H4" s="399"/>
      <c r="I4" s="399"/>
      <c r="J4" s="399"/>
      <c r="K4" s="87">
        <v>241490</v>
      </c>
    </row>
    <row r="5" spans="1:11" ht="81" customHeight="1" thickBot="1" x14ac:dyDescent="1.7">
      <c r="A5" s="7"/>
      <c r="B5" s="389" t="s">
        <v>9</v>
      </c>
      <c r="C5" s="390"/>
      <c r="D5" s="390"/>
      <c r="E5" s="390"/>
      <c r="F5" s="390"/>
      <c r="G5" s="390"/>
      <c r="H5" s="390"/>
      <c r="I5" s="390"/>
      <c r="J5" s="391"/>
      <c r="K5" s="88"/>
    </row>
    <row r="6" spans="1:11" ht="70.5" customHeight="1" x14ac:dyDescent="1.25">
      <c r="A6" s="8"/>
      <c r="B6" s="212" t="s">
        <v>2</v>
      </c>
      <c r="C6" s="200" t="s">
        <v>3</v>
      </c>
      <c r="D6" s="200" t="s">
        <v>38</v>
      </c>
      <c r="E6" s="200" t="s">
        <v>4</v>
      </c>
      <c r="F6" s="401" t="s">
        <v>34</v>
      </c>
      <c r="G6" s="402"/>
      <c r="H6" s="200" t="s">
        <v>5</v>
      </c>
      <c r="I6" s="200" t="s">
        <v>6</v>
      </c>
      <c r="J6" s="211" t="s">
        <v>7</v>
      </c>
      <c r="K6" s="88"/>
    </row>
    <row r="7" spans="1:11" s="16" customFormat="1" ht="89.25" customHeight="1" x14ac:dyDescent="2.4">
      <c r="A7" s="11"/>
      <c r="B7" s="358"/>
      <c r="C7" s="359"/>
      <c r="D7" s="12" t="s">
        <v>102</v>
      </c>
      <c r="E7" s="13" t="s">
        <v>104</v>
      </c>
      <c r="F7" s="349" t="s">
        <v>105</v>
      </c>
      <c r="G7" s="350"/>
      <c r="H7" s="14" t="s">
        <v>160</v>
      </c>
      <c r="I7" s="15">
        <v>3.62</v>
      </c>
      <c r="J7" s="79"/>
      <c r="K7" s="343">
        <v>57500</v>
      </c>
    </row>
    <row r="8" spans="1:11" s="16" customFormat="1" ht="89.25" customHeight="1" x14ac:dyDescent="1.65">
      <c r="A8" s="11"/>
      <c r="B8" s="358"/>
      <c r="C8" s="359"/>
      <c r="D8" s="17">
        <v>92</v>
      </c>
      <c r="E8" s="13" t="s">
        <v>55</v>
      </c>
      <c r="F8" s="349" t="s">
        <v>108</v>
      </c>
      <c r="G8" s="350"/>
      <c r="H8" s="18"/>
      <c r="I8" s="15"/>
      <c r="J8" s="79">
        <v>18</v>
      </c>
      <c r="K8" s="343">
        <v>4500</v>
      </c>
    </row>
    <row r="9" spans="1:11" s="16" customFormat="1" ht="89.25" customHeight="1" x14ac:dyDescent="1.65">
      <c r="A9" s="11"/>
      <c r="B9" s="358"/>
      <c r="C9" s="359"/>
      <c r="D9" s="17" t="s">
        <v>109</v>
      </c>
      <c r="E9" s="13" t="s">
        <v>31</v>
      </c>
      <c r="F9" s="349"/>
      <c r="G9" s="350"/>
      <c r="H9" s="18"/>
      <c r="I9" s="15"/>
      <c r="J9" s="79">
        <v>13</v>
      </c>
      <c r="K9" s="343">
        <v>3250</v>
      </c>
    </row>
    <row r="10" spans="1:11" s="16" customFormat="1" ht="89.25" customHeight="1" x14ac:dyDescent="1.65">
      <c r="A10" s="11"/>
      <c r="B10" s="358"/>
      <c r="C10" s="359"/>
      <c r="D10" s="17">
        <v>93</v>
      </c>
      <c r="E10" s="13" t="s">
        <v>54</v>
      </c>
      <c r="F10" s="349" t="s">
        <v>108</v>
      </c>
      <c r="G10" s="350"/>
      <c r="H10" s="18"/>
      <c r="I10" s="15">
        <v>1.04</v>
      </c>
      <c r="J10" s="79"/>
      <c r="K10" s="343">
        <v>16550</v>
      </c>
    </row>
    <row r="11" spans="1:11" s="16" customFormat="1" ht="89.25" customHeight="1" x14ac:dyDescent="1.65">
      <c r="A11" s="11"/>
      <c r="B11" s="358"/>
      <c r="C11" s="359"/>
      <c r="D11" s="19" t="s">
        <v>111</v>
      </c>
      <c r="E11" s="13" t="s">
        <v>112</v>
      </c>
      <c r="F11" s="349" t="s">
        <v>105</v>
      </c>
      <c r="G11" s="350"/>
      <c r="H11" s="18" t="s">
        <v>113</v>
      </c>
      <c r="I11" s="15" t="s">
        <v>114</v>
      </c>
      <c r="J11" s="79"/>
      <c r="K11" s="344">
        <v>8700</v>
      </c>
    </row>
    <row r="12" spans="1:11" s="16" customFormat="1" ht="89.25" customHeight="1" x14ac:dyDescent="1.65">
      <c r="A12" s="11"/>
      <c r="B12" s="358"/>
      <c r="C12" s="359"/>
      <c r="D12" s="19" t="s">
        <v>109</v>
      </c>
      <c r="E12" s="13" t="s">
        <v>27</v>
      </c>
      <c r="F12" s="349"/>
      <c r="G12" s="350"/>
      <c r="H12" s="18"/>
      <c r="I12" s="15">
        <v>0.3</v>
      </c>
      <c r="J12" s="79"/>
      <c r="K12" s="344">
        <v>4800</v>
      </c>
    </row>
    <row r="13" spans="1:11" s="16" customFormat="1" ht="89.25" customHeight="1" x14ac:dyDescent="1.65">
      <c r="A13" s="11"/>
      <c r="B13" s="358"/>
      <c r="C13" s="359"/>
      <c r="D13" s="19" t="s">
        <v>115</v>
      </c>
      <c r="E13" s="13" t="s">
        <v>116</v>
      </c>
      <c r="F13" s="349" t="s">
        <v>105</v>
      </c>
      <c r="G13" s="350"/>
      <c r="H13" s="18"/>
      <c r="I13" s="15"/>
      <c r="J13" s="79">
        <v>32</v>
      </c>
      <c r="K13" s="344">
        <v>8000</v>
      </c>
    </row>
    <row r="14" spans="1:11" s="16" customFormat="1" ht="89.25" customHeight="1" x14ac:dyDescent="1.65">
      <c r="A14" s="11"/>
      <c r="B14" s="358"/>
      <c r="C14" s="359"/>
      <c r="D14" s="19" t="s">
        <v>109</v>
      </c>
      <c r="E14" s="13" t="s">
        <v>117</v>
      </c>
      <c r="F14" s="349" t="s">
        <v>105</v>
      </c>
      <c r="G14" s="350"/>
      <c r="H14" s="18"/>
      <c r="I14" s="15"/>
      <c r="J14" s="79"/>
      <c r="K14" s="344">
        <v>1100</v>
      </c>
    </row>
    <row r="15" spans="1:11" s="16" customFormat="1" ht="89.25" customHeight="1" x14ac:dyDescent="1.65">
      <c r="A15" s="11"/>
      <c r="B15" s="358"/>
      <c r="C15" s="359"/>
      <c r="D15" s="19" t="s">
        <v>130</v>
      </c>
      <c r="E15" s="13" t="s">
        <v>54</v>
      </c>
      <c r="F15" s="349" t="s">
        <v>108</v>
      </c>
      <c r="G15" s="350"/>
      <c r="H15" s="18"/>
      <c r="I15" s="15">
        <v>2.0699999999999998</v>
      </c>
      <c r="J15" s="79"/>
      <c r="K15" s="344">
        <v>32700</v>
      </c>
    </row>
    <row r="16" spans="1:11" s="16" customFormat="1" ht="89.25" customHeight="1" x14ac:dyDescent="1.65">
      <c r="A16" s="11"/>
      <c r="B16" s="358"/>
      <c r="C16" s="359"/>
      <c r="D16" s="19" t="s">
        <v>131</v>
      </c>
      <c r="E16" s="13" t="s">
        <v>103</v>
      </c>
      <c r="F16" s="349" t="s">
        <v>105</v>
      </c>
      <c r="G16" s="350"/>
      <c r="H16" s="18"/>
      <c r="I16" s="15">
        <v>2.39</v>
      </c>
      <c r="J16" s="79"/>
      <c r="K16" s="344">
        <v>37750</v>
      </c>
    </row>
    <row r="17" spans="1:11" s="16" customFormat="1" ht="89.25" customHeight="1" x14ac:dyDescent="1.65">
      <c r="A17" s="11"/>
      <c r="B17" s="319"/>
      <c r="C17" s="320"/>
      <c r="D17" s="19" t="s">
        <v>140</v>
      </c>
      <c r="E17" s="13" t="s">
        <v>55</v>
      </c>
      <c r="F17" s="349" t="s">
        <v>108</v>
      </c>
      <c r="G17" s="350"/>
      <c r="H17" s="18"/>
      <c r="I17" s="15"/>
      <c r="J17" s="79">
        <v>30</v>
      </c>
      <c r="K17" s="344">
        <v>7500</v>
      </c>
    </row>
    <row r="18" spans="1:11" s="16" customFormat="1" ht="89.25" customHeight="1" x14ac:dyDescent="1.65">
      <c r="A18" s="11"/>
      <c r="B18" s="319"/>
      <c r="C18" s="320"/>
      <c r="D18" s="19" t="s">
        <v>141</v>
      </c>
      <c r="E18" s="13" t="s">
        <v>55</v>
      </c>
      <c r="F18" s="349" t="s">
        <v>142</v>
      </c>
      <c r="G18" s="350"/>
      <c r="H18" s="18"/>
      <c r="I18" s="15"/>
      <c r="J18" s="79">
        <v>54</v>
      </c>
      <c r="K18" s="344">
        <v>13500</v>
      </c>
    </row>
    <row r="19" spans="1:11" s="16" customFormat="1" ht="89.25" customHeight="1" x14ac:dyDescent="2.4">
      <c r="A19" s="11"/>
      <c r="B19" s="358" t="s">
        <v>156</v>
      </c>
      <c r="C19" s="359"/>
      <c r="D19" s="19" t="s">
        <v>157</v>
      </c>
      <c r="E19" s="13" t="s">
        <v>103</v>
      </c>
      <c r="F19" s="349" t="s">
        <v>105</v>
      </c>
      <c r="G19" s="350"/>
      <c r="H19" s="18"/>
      <c r="I19" s="15">
        <v>1.42</v>
      </c>
      <c r="J19" s="79"/>
      <c r="K19" s="344">
        <v>22600</v>
      </c>
    </row>
    <row r="20" spans="1:11" s="16" customFormat="1" ht="89.25" customHeight="1" x14ac:dyDescent="1.65">
      <c r="A20" s="11"/>
      <c r="B20" s="358"/>
      <c r="C20" s="359"/>
      <c r="D20" s="75" t="s">
        <v>118</v>
      </c>
      <c r="E20" s="21" t="s">
        <v>117</v>
      </c>
      <c r="F20" s="349" t="s">
        <v>105</v>
      </c>
      <c r="G20" s="350"/>
      <c r="H20" s="76"/>
      <c r="I20" s="23"/>
      <c r="J20" s="80"/>
      <c r="K20" s="340">
        <v>250</v>
      </c>
    </row>
    <row r="21" spans="1:11" s="16" customFormat="1" ht="89.25" customHeight="1" x14ac:dyDescent="1.65">
      <c r="A21" s="11"/>
      <c r="B21" s="358"/>
      <c r="C21" s="359"/>
      <c r="D21" s="75" t="s">
        <v>109</v>
      </c>
      <c r="E21" s="21" t="s">
        <v>119</v>
      </c>
      <c r="F21" s="349"/>
      <c r="G21" s="350"/>
      <c r="H21" s="76"/>
      <c r="I21" s="23"/>
      <c r="J21" s="80"/>
      <c r="K21" s="340">
        <v>1050</v>
      </c>
    </row>
    <row r="22" spans="1:11" s="16" customFormat="1" ht="89.25" customHeight="1" x14ac:dyDescent="1.65">
      <c r="A22" s="11"/>
      <c r="B22" s="358"/>
      <c r="C22" s="359"/>
      <c r="D22" s="75" t="s">
        <v>143</v>
      </c>
      <c r="E22" s="21" t="s">
        <v>103</v>
      </c>
      <c r="F22" s="349"/>
      <c r="G22" s="350"/>
      <c r="H22" s="76"/>
      <c r="I22" s="23"/>
      <c r="J22" s="80">
        <v>2</v>
      </c>
      <c r="K22" s="340">
        <v>550</v>
      </c>
    </row>
    <row r="23" spans="1:11" s="16" customFormat="1" ht="89.25" customHeight="1" x14ac:dyDescent="1.65">
      <c r="A23" s="11"/>
      <c r="B23" s="358"/>
      <c r="C23" s="359"/>
      <c r="D23" s="75" t="s">
        <v>109</v>
      </c>
      <c r="E23" s="21" t="s">
        <v>122</v>
      </c>
      <c r="F23" s="349"/>
      <c r="G23" s="350"/>
      <c r="H23" s="76"/>
      <c r="I23" s="23"/>
      <c r="J23" s="80">
        <v>5</v>
      </c>
      <c r="K23" s="340">
        <v>1270</v>
      </c>
    </row>
    <row r="24" spans="1:11" s="16" customFormat="1" ht="89.25" customHeight="1" x14ac:dyDescent="1.65">
      <c r="A24" s="11"/>
      <c r="B24" s="358"/>
      <c r="C24" s="359"/>
      <c r="D24" s="75" t="s">
        <v>109</v>
      </c>
      <c r="E24" s="21" t="s">
        <v>123</v>
      </c>
      <c r="F24" s="349"/>
      <c r="G24" s="350"/>
      <c r="H24" s="76"/>
      <c r="I24" s="23"/>
      <c r="J24" s="80">
        <v>1</v>
      </c>
      <c r="K24" s="340">
        <v>350</v>
      </c>
    </row>
    <row r="25" spans="1:11" s="16" customFormat="1" ht="89.25" customHeight="1" x14ac:dyDescent="1.65">
      <c r="A25" s="11"/>
      <c r="B25" s="358"/>
      <c r="C25" s="359"/>
      <c r="D25" s="75" t="s">
        <v>109</v>
      </c>
      <c r="E25" s="21" t="s">
        <v>117</v>
      </c>
      <c r="F25" s="349" t="s">
        <v>124</v>
      </c>
      <c r="G25" s="350"/>
      <c r="H25" s="76"/>
      <c r="I25" s="23"/>
      <c r="J25" s="80"/>
      <c r="K25" s="340">
        <v>4700</v>
      </c>
    </row>
    <row r="26" spans="1:11" s="16" customFormat="1" ht="89.25" customHeight="1" x14ac:dyDescent="1.65">
      <c r="A26" s="11"/>
      <c r="B26" s="358"/>
      <c r="C26" s="359"/>
      <c r="D26" s="75" t="s">
        <v>109</v>
      </c>
      <c r="E26" s="21" t="s">
        <v>117</v>
      </c>
      <c r="F26" s="349" t="s">
        <v>105</v>
      </c>
      <c r="G26" s="350"/>
      <c r="H26" s="76"/>
      <c r="I26" s="23"/>
      <c r="J26" s="80"/>
      <c r="K26" s="340">
        <v>1500</v>
      </c>
    </row>
    <row r="27" spans="1:11" s="16" customFormat="1" ht="89.25" customHeight="1" x14ac:dyDescent="1.65">
      <c r="A27" s="11"/>
      <c r="B27" s="358"/>
      <c r="C27" s="359"/>
      <c r="D27" s="75" t="s">
        <v>144</v>
      </c>
      <c r="E27" s="21" t="s">
        <v>54</v>
      </c>
      <c r="F27" s="349" t="s">
        <v>108</v>
      </c>
      <c r="G27" s="350"/>
      <c r="H27" s="76"/>
      <c r="I27" s="23">
        <v>2.63</v>
      </c>
      <c r="J27" s="80"/>
      <c r="K27" s="340">
        <v>5300</v>
      </c>
    </row>
    <row r="28" spans="1:11" s="16" customFormat="1" ht="89.25" customHeight="1" x14ac:dyDescent="1.65">
      <c r="A28" s="11"/>
      <c r="B28" s="358"/>
      <c r="C28" s="359"/>
      <c r="D28" s="75" t="s">
        <v>147</v>
      </c>
      <c r="E28" s="21" t="s">
        <v>54</v>
      </c>
      <c r="F28" s="349" t="s">
        <v>148</v>
      </c>
      <c r="G28" s="350"/>
      <c r="H28" s="76"/>
      <c r="I28" s="23">
        <v>-0.09</v>
      </c>
      <c r="J28" s="80"/>
      <c r="K28" s="90"/>
    </row>
    <row r="29" spans="1:11" s="16" customFormat="1" ht="89.25" customHeight="1" x14ac:dyDescent="1.65">
      <c r="A29" s="11"/>
      <c r="B29" s="322"/>
      <c r="C29" s="323"/>
      <c r="D29" s="75" t="s">
        <v>150</v>
      </c>
      <c r="E29" s="21" t="s">
        <v>151</v>
      </c>
      <c r="F29" s="349" t="s">
        <v>105</v>
      </c>
      <c r="G29" s="350"/>
      <c r="H29" s="76"/>
      <c r="I29" s="23"/>
      <c r="J29" s="80">
        <v>7</v>
      </c>
      <c r="K29" s="340">
        <v>1750</v>
      </c>
    </row>
    <row r="30" spans="1:11" s="16" customFormat="1" ht="89.25" customHeight="1" x14ac:dyDescent="1.65">
      <c r="A30" s="11"/>
      <c r="B30" s="322"/>
      <c r="C30" s="323"/>
      <c r="D30" s="75" t="s">
        <v>154</v>
      </c>
      <c r="E30" s="21" t="s">
        <v>155</v>
      </c>
      <c r="F30" s="349" t="s">
        <v>108</v>
      </c>
      <c r="G30" s="350"/>
      <c r="H30" s="76"/>
      <c r="I30" s="23"/>
      <c r="J30" s="80">
        <v>5</v>
      </c>
      <c r="K30" s="340">
        <v>1250</v>
      </c>
    </row>
    <row r="31" spans="1:11" s="16" customFormat="1" ht="89.25" customHeight="1" x14ac:dyDescent="1.65">
      <c r="A31" s="11"/>
      <c r="B31" s="322"/>
      <c r="C31" s="323"/>
      <c r="D31" s="75" t="s">
        <v>109</v>
      </c>
      <c r="E31" s="21" t="s">
        <v>31</v>
      </c>
      <c r="F31" s="324"/>
      <c r="G31" s="321"/>
      <c r="H31" s="76"/>
      <c r="I31" s="23"/>
      <c r="J31" s="80">
        <v>2</v>
      </c>
      <c r="K31" s="338" t="s">
        <v>162</v>
      </c>
    </row>
    <row r="32" spans="1:11" s="16" customFormat="1" ht="89.25" customHeight="1" x14ac:dyDescent="1.65">
      <c r="A32" s="11"/>
      <c r="B32" s="358" t="s">
        <v>134</v>
      </c>
      <c r="C32" s="359"/>
      <c r="D32" s="75" t="s">
        <v>133</v>
      </c>
      <c r="E32" s="21" t="s">
        <v>27</v>
      </c>
      <c r="F32" s="349"/>
      <c r="G32" s="350"/>
      <c r="H32" s="76"/>
      <c r="I32" s="23">
        <v>0.57999999999999996</v>
      </c>
      <c r="J32" s="80"/>
      <c r="K32" s="90"/>
    </row>
    <row r="33" spans="1:11" s="16" customFormat="1" ht="89.25" customHeight="1" x14ac:dyDescent="1.65">
      <c r="A33" s="11"/>
      <c r="B33" s="358"/>
      <c r="C33" s="359"/>
      <c r="D33" s="75" t="s">
        <v>126</v>
      </c>
      <c r="E33" s="21" t="s">
        <v>127</v>
      </c>
      <c r="F33" s="349"/>
      <c r="G33" s="350"/>
      <c r="H33" s="76"/>
      <c r="I33" s="23"/>
      <c r="J33" s="80"/>
      <c r="K33" s="340">
        <v>400</v>
      </c>
    </row>
    <row r="34" spans="1:11" s="16" customFormat="1" ht="89.25" customHeight="1" x14ac:dyDescent="1.65">
      <c r="A34" s="11"/>
      <c r="B34" s="358"/>
      <c r="C34" s="359"/>
      <c r="D34" s="75" t="s">
        <v>109</v>
      </c>
      <c r="E34" s="21" t="s">
        <v>128</v>
      </c>
      <c r="F34" s="349"/>
      <c r="G34" s="350"/>
      <c r="H34" s="76"/>
      <c r="I34" s="23"/>
      <c r="J34" s="80"/>
      <c r="K34" s="340">
        <v>5000</v>
      </c>
    </row>
    <row r="35" spans="1:11" s="16" customFormat="1" ht="83" customHeight="1" thickBot="1" x14ac:dyDescent="1.7">
      <c r="A35" s="11"/>
      <c r="B35" s="358"/>
      <c r="C35" s="359"/>
      <c r="D35" s="20"/>
      <c r="E35" s="21"/>
      <c r="F35" s="409"/>
      <c r="G35" s="355"/>
      <c r="H35" s="22"/>
      <c r="I35" s="23"/>
      <c r="J35" s="80"/>
      <c r="K35" s="91"/>
    </row>
    <row r="36" spans="1:11" s="16" customFormat="1" ht="89.25" customHeight="1" thickBot="1" x14ac:dyDescent="1.7">
      <c r="A36" s="11"/>
      <c r="B36" s="195"/>
      <c r="C36" s="196"/>
      <c r="D36" s="24" t="s">
        <v>10</v>
      </c>
      <c r="E36" s="43" t="s">
        <v>42</v>
      </c>
      <c r="F36" s="410">
        <v>6</v>
      </c>
      <c r="G36" s="411"/>
      <c r="H36" s="209"/>
      <c r="I36" s="25">
        <f>SUM(I7:I35)</f>
        <v>13.959999999999999</v>
      </c>
      <c r="J36" s="81">
        <f>SUM(J7:J35)</f>
        <v>169</v>
      </c>
      <c r="K36" s="92">
        <f>SUM(K7:K35)</f>
        <v>241820</v>
      </c>
    </row>
    <row r="37" spans="1:11" s="16" customFormat="1" ht="89.25" customHeight="1" thickBot="1" x14ac:dyDescent="1.7">
      <c r="A37" s="11"/>
      <c r="B37" s="360"/>
      <c r="C37" s="361"/>
      <c r="D37" s="26"/>
      <c r="E37" s="26"/>
      <c r="F37" s="404"/>
      <c r="G37" s="357"/>
      <c r="H37" s="27"/>
      <c r="I37" s="28" t="s">
        <v>159</v>
      </c>
      <c r="J37" s="82"/>
      <c r="K37" s="93"/>
    </row>
    <row r="38" spans="1:11" s="16" customFormat="1" ht="89.25" customHeight="1" thickBot="1" x14ac:dyDescent="1.7">
      <c r="A38" s="11"/>
      <c r="B38" s="375" t="s">
        <v>11</v>
      </c>
      <c r="C38" s="376"/>
      <c r="D38" s="376"/>
      <c r="E38" s="376"/>
      <c r="F38" s="376"/>
      <c r="G38" s="376"/>
      <c r="H38" s="376"/>
      <c r="I38" s="376"/>
      <c r="J38" s="377"/>
      <c r="K38" s="94"/>
    </row>
    <row r="39" spans="1:11" s="16" customFormat="1" ht="76.5" customHeight="1" thickBot="1" x14ac:dyDescent="1.7">
      <c r="A39" s="11"/>
      <c r="B39" s="362"/>
      <c r="C39" s="363"/>
      <c r="D39" s="199"/>
      <c r="E39" s="260" t="s">
        <v>37</v>
      </c>
      <c r="F39" s="260" t="s">
        <v>58</v>
      </c>
      <c r="G39" s="406" t="s">
        <v>35</v>
      </c>
      <c r="H39" s="407"/>
      <c r="I39" s="408"/>
      <c r="J39" s="261" t="s">
        <v>36</v>
      </c>
      <c r="K39" s="95"/>
    </row>
    <row r="40" spans="1:11" s="16" customFormat="1" ht="89.25" customHeight="1" thickBot="1" x14ac:dyDescent="1.7">
      <c r="A40" s="11"/>
      <c r="B40" s="351"/>
      <c r="C40" s="350"/>
      <c r="D40" s="202" t="s">
        <v>87</v>
      </c>
      <c r="E40" s="315">
        <v>46069</v>
      </c>
      <c r="F40" s="29"/>
      <c r="G40" s="381" t="s">
        <v>88</v>
      </c>
      <c r="H40" s="381"/>
      <c r="I40" s="382"/>
      <c r="J40" s="83"/>
      <c r="K40" s="348">
        <v>2000</v>
      </c>
    </row>
    <row r="41" spans="1:11" s="16" customFormat="1" ht="89.25" customHeight="1" thickBot="1" x14ac:dyDescent="1.7">
      <c r="A41" s="11"/>
      <c r="B41" s="215"/>
      <c r="C41" s="205"/>
      <c r="D41" s="202" t="s">
        <v>81</v>
      </c>
      <c r="E41" s="201"/>
      <c r="F41" s="29"/>
      <c r="G41" s="381" t="s">
        <v>78</v>
      </c>
      <c r="H41" s="381"/>
      <c r="I41" s="382"/>
      <c r="J41" s="83" t="s">
        <v>71</v>
      </c>
      <c r="K41" s="348">
        <v>114500</v>
      </c>
    </row>
    <row r="42" spans="1:11" s="16" customFormat="1" ht="89.25" customHeight="1" x14ac:dyDescent="1.65">
      <c r="A42" s="11"/>
      <c r="B42" s="215"/>
      <c r="C42" s="205"/>
      <c r="D42" s="314" t="s">
        <v>84</v>
      </c>
      <c r="E42" s="201"/>
      <c r="F42" s="29"/>
      <c r="G42" s="381" t="s">
        <v>86</v>
      </c>
      <c r="H42" s="381"/>
      <c r="I42" s="382"/>
      <c r="J42" s="83" t="s">
        <v>85</v>
      </c>
      <c r="K42" s="348">
        <v>31000</v>
      </c>
    </row>
    <row r="43" spans="1:11" s="16" customFormat="1" ht="67.5" customHeight="1" x14ac:dyDescent="1.65">
      <c r="A43" s="11"/>
      <c r="B43" s="215"/>
      <c r="C43" s="205"/>
      <c r="D43" s="217"/>
      <c r="E43" s="201"/>
      <c r="F43" s="29"/>
      <c r="G43" s="381"/>
      <c r="H43" s="381"/>
      <c r="I43" s="382"/>
      <c r="J43" s="83"/>
      <c r="K43" s="95"/>
    </row>
    <row r="44" spans="1:11" s="16" customFormat="1" ht="89.25" customHeight="1" thickBot="1" x14ac:dyDescent="1.7">
      <c r="A44" s="11"/>
      <c r="B44" s="351"/>
      <c r="C44" s="350"/>
      <c r="D44" s="203" t="s">
        <v>11</v>
      </c>
      <c r="E44" s="192"/>
      <c r="F44" s="30"/>
      <c r="G44" s="381" t="s">
        <v>69</v>
      </c>
      <c r="H44" s="381"/>
      <c r="I44" s="382"/>
      <c r="J44" s="83" t="s">
        <v>68</v>
      </c>
      <c r="K44" s="348">
        <v>9000</v>
      </c>
    </row>
    <row r="45" spans="1:11" s="16" customFormat="1" ht="89.25" customHeight="1" x14ac:dyDescent="1.65">
      <c r="A45" s="11"/>
      <c r="B45" s="351"/>
      <c r="C45" s="350"/>
      <c r="D45" s="216"/>
      <c r="E45" s="193"/>
      <c r="F45" s="30"/>
      <c r="G45" s="381" t="s">
        <v>72</v>
      </c>
      <c r="H45" s="381"/>
      <c r="I45" s="382"/>
      <c r="J45" s="83" t="s">
        <v>73</v>
      </c>
      <c r="K45" s="348">
        <v>20000</v>
      </c>
    </row>
    <row r="46" spans="1:11" s="16" customFormat="1" ht="89.25" customHeight="1" x14ac:dyDescent="1.65">
      <c r="A46" s="11"/>
      <c r="B46" s="351"/>
      <c r="C46" s="350"/>
      <c r="D46" s="217"/>
      <c r="E46" s="193"/>
      <c r="F46" s="30"/>
      <c r="G46" s="381" t="s">
        <v>74</v>
      </c>
      <c r="H46" s="381"/>
      <c r="I46" s="382"/>
      <c r="J46" s="83" t="s">
        <v>75</v>
      </c>
      <c r="K46" s="348">
        <v>9500</v>
      </c>
    </row>
    <row r="47" spans="1:11" s="16" customFormat="1" ht="89.25" customHeight="1" x14ac:dyDescent="1.65">
      <c r="A47" s="11"/>
      <c r="B47" s="351"/>
      <c r="C47" s="350"/>
      <c r="D47" s="217"/>
      <c r="E47" s="193"/>
      <c r="F47" s="30"/>
      <c r="G47" s="381" t="s">
        <v>76</v>
      </c>
      <c r="H47" s="381"/>
      <c r="I47" s="382"/>
      <c r="J47" s="83" t="s">
        <v>77</v>
      </c>
      <c r="K47" s="348">
        <v>2300</v>
      </c>
    </row>
    <row r="48" spans="1:11" s="16" customFormat="1" ht="89.25" customHeight="1" x14ac:dyDescent="1.65">
      <c r="A48" s="11"/>
      <c r="B48" s="351"/>
      <c r="C48" s="350"/>
      <c r="D48" s="217"/>
      <c r="E48" s="193"/>
      <c r="F48" s="30"/>
      <c r="G48" s="381" t="s">
        <v>82</v>
      </c>
      <c r="H48" s="381"/>
      <c r="I48" s="382"/>
      <c r="J48" s="83" t="s">
        <v>83</v>
      </c>
      <c r="K48" s="348">
        <v>181000</v>
      </c>
    </row>
    <row r="49" spans="1:11" s="16" customFormat="1" ht="89.25" customHeight="1" x14ac:dyDescent="1.65">
      <c r="A49" s="11"/>
      <c r="B49" s="351"/>
      <c r="C49" s="350"/>
      <c r="D49" s="217"/>
      <c r="E49" s="193">
        <v>46060</v>
      </c>
      <c r="F49" s="30"/>
      <c r="G49" s="381" t="s">
        <v>89</v>
      </c>
      <c r="H49" s="381"/>
      <c r="I49" s="382"/>
      <c r="J49" s="83" t="s">
        <v>90</v>
      </c>
      <c r="K49" s="348">
        <v>93000</v>
      </c>
    </row>
    <row r="50" spans="1:11" s="16" customFormat="1" ht="89.25" customHeight="1" x14ac:dyDescent="1.65">
      <c r="A50" s="11"/>
      <c r="B50" s="351"/>
      <c r="C50" s="350"/>
      <c r="D50" s="217"/>
      <c r="E50" s="193"/>
      <c r="F50" s="30"/>
      <c r="G50" s="381" t="s">
        <v>135</v>
      </c>
      <c r="H50" s="381"/>
      <c r="I50" s="382"/>
      <c r="J50" s="83" t="s">
        <v>107</v>
      </c>
      <c r="K50" s="348">
        <v>21200</v>
      </c>
    </row>
    <row r="51" spans="1:11" s="16" customFormat="1" ht="89.25" customHeight="1" x14ac:dyDescent="1.65">
      <c r="A51" s="11"/>
      <c r="B51" s="351"/>
      <c r="C51" s="350"/>
      <c r="D51" s="217"/>
      <c r="E51" s="193"/>
      <c r="F51" s="30"/>
      <c r="G51" s="381" t="s">
        <v>136</v>
      </c>
      <c r="H51" s="381"/>
      <c r="I51" s="382"/>
      <c r="J51" s="83" t="s">
        <v>137</v>
      </c>
      <c r="K51" s="348">
        <v>22000</v>
      </c>
    </row>
    <row r="52" spans="1:11" s="16" customFormat="1" ht="89.25" customHeight="1" x14ac:dyDescent="1.65">
      <c r="A52" s="11"/>
      <c r="B52" s="351"/>
      <c r="C52" s="350"/>
      <c r="D52" s="217"/>
      <c r="E52" s="193"/>
      <c r="F52" s="30"/>
      <c r="G52" s="381" t="s">
        <v>139</v>
      </c>
      <c r="H52" s="381"/>
      <c r="I52" s="382"/>
      <c r="J52" s="83" t="s">
        <v>138</v>
      </c>
      <c r="K52" s="348">
        <v>8000</v>
      </c>
    </row>
    <row r="53" spans="1:11" s="16" customFormat="1" ht="89.25" customHeight="1" x14ac:dyDescent="1.65">
      <c r="A53" s="11"/>
      <c r="B53" s="351"/>
      <c r="C53" s="350"/>
      <c r="D53" s="217"/>
      <c r="E53" s="193"/>
      <c r="F53" s="30"/>
      <c r="G53" s="381" t="s">
        <v>70</v>
      </c>
      <c r="H53" s="381"/>
      <c r="I53" s="382"/>
      <c r="J53" s="83" t="s">
        <v>71</v>
      </c>
      <c r="K53" s="348">
        <v>2500</v>
      </c>
    </row>
    <row r="54" spans="1:11" s="16" customFormat="1" ht="89.25" customHeight="1" x14ac:dyDescent="1.65">
      <c r="A54" s="11"/>
      <c r="B54" s="351"/>
      <c r="C54" s="350"/>
      <c r="D54" s="217"/>
      <c r="E54" s="193"/>
      <c r="F54" s="77"/>
      <c r="G54" s="381" t="s">
        <v>79</v>
      </c>
      <c r="H54" s="381"/>
      <c r="I54" s="382"/>
      <c r="J54" s="83" t="s">
        <v>71</v>
      </c>
      <c r="K54" s="348">
        <v>60000</v>
      </c>
    </row>
    <row r="55" spans="1:11" s="16" customFormat="1" ht="89.25" customHeight="1" x14ac:dyDescent="1.65">
      <c r="A55" s="11"/>
      <c r="B55" s="351"/>
      <c r="C55" s="350"/>
      <c r="D55" s="217"/>
      <c r="E55" s="193"/>
      <c r="F55" s="77"/>
      <c r="G55" s="381" t="s">
        <v>80</v>
      </c>
      <c r="H55" s="381"/>
      <c r="I55" s="382"/>
      <c r="J55" s="83" t="s">
        <v>71</v>
      </c>
      <c r="K55" s="348">
        <v>1000</v>
      </c>
    </row>
    <row r="56" spans="1:11" s="16" customFormat="1" ht="89.25" customHeight="1" x14ac:dyDescent="1.65">
      <c r="A56" s="11"/>
      <c r="B56" s="351"/>
      <c r="C56" s="350"/>
      <c r="D56" s="217"/>
      <c r="E56" s="193"/>
      <c r="F56" s="77"/>
      <c r="G56" s="381" t="s">
        <v>134</v>
      </c>
      <c r="H56" s="381"/>
      <c r="I56" s="382"/>
      <c r="J56" s="84" t="s">
        <v>71</v>
      </c>
      <c r="K56" s="348">
        <v>5000</v>
      </c>
    </row>
    <row r="57" spans="1:11" s="16" customFormat="1" ht="66.5" customHeight="1" thickBot="1" x14ac:dyDescent="1.7">
      <c r="A57" s="11"/>
      <c r="B57" s="351"/>
      <c r="C57" s="350"/>
      <c r="D57" s="217"/>
      <c r="E57" s="193"/>
      <c r="F57" s="33"/>
      <c r="G57" s="381"/>
      <c r="H57" s="381"/>
      <c r="I57" s="382"/>
      <c r="J57" s="84"/>
      <c r="K57" s="262"/>
    </row>
    <row r="58" spans="1:11" s="16" customFormat="1" ht="89.25" customHeight="1" thickBot="1" x14ac:dyDescent="1.7">
      <c r="A58" s="11"/>
      <c r="B58" s="354"/>
      <c r="C58" s="355"/>
      <c r="D58" s="52"/>
      <c r="E58" s="52"/>
      <c r="F58" s="52"/>
      <c r="G58" s="52"/>
      <c r="H58" s="52"/>
      <c r="I58" s="52"/>
      <c r="J58" s="85" t="s">
        <v>10</v>
      </c>
      <c r="K58" s="92">
        <f>SUM(K44:K57)</f>
        <v>434500</v>
      </c>
    </row>
    <row r="59" spans="1:11" s="16" customFormat="1" ht="89.25" customHeight="1" thickBot="1" x14ac:dyDescent="1.7">
      <c r="A59" s="11"/>
      <c r="B59" s="378" t="s">
        <v>12</v>
      </c>
      <c r="C59" s="379"/>
      <c r="D59" s="379"/>
      <c r="E59" s="379"/>
      <c r="F59" s="379"/>
      <c r="G59" s="379"/>
      <c r="H59" s="379"/>
      <c r="I59" s="379"/>
      <c r="J59" s="380"/>
      <c r="K59" s="96"/>
    </row>
    <row r="60" spans="1:11" s="16" customFormat="1" ht="89.25" customHeight="1" thickBot="1" x14ac:dyDescent="1.7">
      <c r="A60" s="34"/>
      <c r="B60" s="356"/>
      <c r="C60" s="357"/>
      <c r="D60" s="404"/>
      <c r="E60" s="357"/>
      <c r="F60" s="404"/>
      <c r="G60" s="405"/>
      <c r="H60" s="219" t="s">
        <v>32</v>
      </c>
      <c r="I60" s="218" t="s">
        <v>13</v>
      </c>
      <c r="J60" s="37" t="s">
        <v>14</v>
      </c>
      <c r="K60" s="89"/>
    </row>
    <row r="61" spans="1:11" s="16" customFormat="1" ht="89.25" customHeight="1" x14ac:dyDescent="1.65">
      <c r="A61" s="34"/>
      <c r="B61" s="352"/>
      <c r="C61" s="353"/>
      <c r="D61" s="403"/>
      <c r="E61" s="353"/>
      <c r="F61" s="403"/>
      <c r="G61" s="353"/>
      <c r="H61" s="27">
        <v>785</v>
      </c>
      <c r="I61" s="224">
        <v>10000</v>
      </c>
      <c r="J61" s="225">
        <v>600</v>
      </c>
      <c r="K61" s="96">
        <f>I61+J61</f>
        <v>10600</v>
      </c>
    </row>
    <row r="62" spans="1:11" s="16" customFormat="1" ht="89.25" customHeight="1" x14ac:dyDescent="1.65">
      <c r="A62" s="34"/>
      <c r="B62" s="352"/>
      <c r="C62" s="353"/>
      <c r="D62" s="403" t="s">
        <v>91</v>
      </c>
      <c r="E62" s="412"/>
      <c r="F62" s="412"/>
      <c r="G62" s="353"/>
      <c r="H62" s="198" t="s">
        <v>92</v>
      </c>
      <c r="I62" s="226">
        <v>55000</v>
      </c>
      <c r="J62" s="227">
        <v>1650</v>
      </c>
      <c r="K62" s="346">
        <f t="shared" ref="K62:K63" si="0">I62+J62</f>
        <v>56650</v>
      </c>
    </row>
    <row r="63" spans="1:11" s="16" customFormat="1" ht="89.25" customHeight="1" x14ac:dyDescent="1.65">
      <c r="A63" s="34"/>
      <c r="B63" s="352"/>
      <c r="C63" s="353"/>
      <c r="D63" s="403" t="s">
        <v>93</v>
      </c>
      <c r="E63" s="412"/>
      <c r="F63" s="412"/>
      <c r="G63" s="353"/>
      <c r="H63" s="198" t="s">
        <v>94</v>
      </c>
      <c r="I63" s="347">
        <v>175000</v>
      </c>
      <c r="J63" s="227"/>
      <c r="K63" s="96">
        <f t="shared" si="0"/>
        <v>175000</v>
      </c>
    </row>
    <row r="64" spans="1:11" s="16" customFormat="1" ht="89.25" customHeight="1" x14ac:dyDescent="1.65">
      <c r="A64" s="34"/>
      <c r="B64" s="352"/>
      <c r="C64" s="353"/>
      <c r="D64" s="403" t="s">
        <v>95</v>
      </c>
      <c r="E64" s="412"/>
      <c r="F64" s="412"/>
      <c r="G64" s="353"/>
      <c r="H64" s="198" t="s">
        <v>96</v>
      </c>
      <c r="I64" s="226">
        <v>60000</v>
      </c>
      <c r="J64" s="227"/>
      <c r="K64" s="96">
        <f>I64+J64</f>
        <v>60000</v>
      </c>
    </row>
    <row r="65" spans="1:11" s="16" customFormat="1" ht="71" customHeight="1" thickBot="1" x14ac:dyDescent="1.7">
      <c r="A65" s="34"/>
      <c r="B65" s="352"/>
      <c r="C65" s="353"/>
      <c r="D65" s="403"/>
      <c r="E65" s="353"/>
      <c r="F65" s="403"/>
      <c r="G65" s="353"/>
      <c r="H65" s="198"/>
      <c r="I65" s="264"/>
      <c r="J65" s="265"/>
      <c r="K65" s="263"/>
    </row>
    <row r="66" spans="1:11" s="16" customFormat="1" ht="89.25" customHeight="1" thickBot="1" x14ac:dyDescent="1.7">
      <c r="A66" s="34"/>
      <c r="B66" s="352"/>
      <c r="C66" s="353"/>
      <c r="D66" s="403"/>
      <c r="E66" s="353"/>
      <c r="F66" s="403"/>
      <c r="G66" s="412"/>
      <c r="H66" s="35" t="s">
        <v>10</v>
      </c>
      <c r="I66" s="267">
        <f>SUM(I61:I65)</f>
        <v>300000</v>
      </c>
      <c r="J66" s="268">
        <f>SUM(J61:J65)</f>
        <v>2250</v>
      </c>
      <c r="K66" s="92">
        <f>SUM(K61:K65)</f>
        <v>302250</v>
      </c>
    </row>
    <row r="67" spans="1:11" s="16" customFormat="1" ht="59" customHeight="1" thickBot="1" x14ac:dyDescent="1.7">
      <c r="A67" s="34"/>
      <c r="B67" s="352"/>
      <c r="C67" s="353"/>
      <c r="D67" s="403"/>
      <c r="E67" s="353"/>
      <c r="F67" s="403"/>
      <c r="G67" s="353"/>
      <c r="H67" s="36"/>
      <c r="I67" s="36"/>
      <c r="J67" s="266"/>
      <c r="K67" s="96"/>
    </row>
    <row r="68" spans="1:11" s="16" customFormat="1" ht="89.25" customHeight="1" thickBot="1" x14ac:dyDescent="1.7">
      <c r="A68" s="34"/>
      <c r="B68" s="352"/>
      <c r="C68" s="353"/>
      <c r="D68" s="403"/>
      <c r="E68" s="353"/>
      <c r="F68" s="206"/>
      <c r="G68" s="207"/>
      <c r="H68" s="36"/>
      <c r="I68" s="206"/>
      <c r="J68" s="214" t="s">
        <v>65</v>
      </c>
      <c r="K68" s="96">
        <v>130</v>
      </c>
    </row>
    <row r="69" spans="1:11" s="16" customFormat="1" ht="69" customHeight="1" x14ac:dyDescent="1.35">
      <c r="A69" s="274"/>
      <c r="B69" s="275"/>
      <c r="C69" s="275"/>
      <c r="D69" s="275"/>
      <c r="E69" s="275"/>
      <c r="F69" s="275"/>
      <c r="G69" s="275"/>
      <c r="H69" s="275"/>
      <c r="I69" s="275"/>
      <c r="J69" s="275"/>
      <c r="K69" s="89"/>
    </row>
    <row r="70" spans="1:11" s="16" customFormat="1" ht="114.75" customHeight="1" thickBot="1" x14ac:dyDescent="1.7">
      <c r="A70" s="364" t="s">
        <v>57</v>
      </c>
      <c r="B70" s="365"/>
      <c r="C70" s="366"/>
      <c r="D70" s="367"/>
      <c r="E70" s="367"/>
      <c r="F70" s="367"/>
      <c r="G70" s="367"/>
      <c r="H70" s="367"/>
      <c r="I70" s="367"/>
      <c r="J70" s="367"/>
      <c r="K70" s="97">
        <f>K68+K66+K58+K42+K41+K40+K36+K4</f>
        <v>1367690</v>
      </c>
    </row>
    <row r="71" spans="1:11" s="16" customFormat="1" ht="89.25" customHeight="1" thickBot="1" x14ac:dyDescent="1.4">
      <c r="A71" s="368"/>
      <c r="B71" s="369"/>
      <c r="C71" s="369"/>
      <c r="D71" s="369"/>
      <c r="E71" s="369"/>
      <c r="F71" s="369"/>
      <c r="G71" s="369"/>
      <c r="H71" s="369"/>
      <c r="I71" s="369"/>
      <c r="J71" s="369"/>
      <c r="K71" s="370"/>
    </row>
    <row r="72" spans="1:11" s="16" customFormat="1" ht="99.75" customHeight="1" thickBot="1" x14ac:dyDescent="1.4">
      <c r="A72" s="236"/>
      <c r="B72" s="213" t="s">
        <v>20</v>
      </c>
      <c r="C72" s="218">
        <v>91.6</v>
      </c>
      <c r="D72" s="218" t="s">
        <v>21</v>
      </c>
      <c r="E72" s="218" t="s">
        <v>22</v>
      </c>
      <c r="F72" s="371" t="s">
        <v>161</v>
      </c>
      <c r="G72" s="372"/>
      <c r="H72" s="218"/>
      <c r="I72" s="218" t="s">
        <v>9</v>
      </c>
      <c r="J72" s="218" t="s">
        <v>23</v>
      </c>
      <c r="K72" s="37" t="s">
        <v>11</v>
      </c>
    </row>
    <row r="73" spans="1:11" s="16" customFormat="1" ht="146.25" customHeight="1" thickBot="1" x14ac:dyDescent="1.4">
      <c r="A73" s="237"/>
      <c r="B73" s="38">
        <f>I36</f>
        <v>13.959999999999999</v>
      </c>
      <c r="C73" s="228">
        <v>0.48</v>
      </c>
      <c r="D73" s="39">
        <v>6</v>
      </c>
      <c r="E73" s="40">
        <f>J36</f>
        <v>169</v>
      </c>
      <c r="F73" s="373">
        <v>3.62</v>
      </c>
      <c r="G73" s="374"/>
      <c r="H73" s="40"/>
      <c r="I73" s="41">
        <f>K36</f>
        <v>241820</v>
      </c>
      <c r="J73" s="41">
        <f>'जावक '!G50</f>
        <v>45500</v>
      </c>
      <c r="K73" s="42">
        <f>K58</f>
        <v>434500</v>
      </c>
    </row>
  </sheetData>
  <mergeCells count="129">
    <mergeCell ref="D68:E68"/>
    <mergeCell ref="G56:I56"/>
    <mergeCell ref="D61:E61"/>
    <mergeCell ref="D62:G62"/>
    <mergeCell ref="D63:G63"/>
    <mergeCell ref="D64:G64"/>
    <mergeCell ref="F17:G17"/>
    <mergeCell ref="F18:G18"/>
    <mergeCell ref="G41:I41"/>
    <mergeCell ref="G42:I42"/>
    <mergeCell ref="G43:I43"/>
    <mergeCell ref="F33:G33"/>
    <mergeCell ref="F34:G34"/>
    <mergeCell ref="D65:E65"/>
    <mergeCell ref="D66:E66"/>
    <mergeCell ref="D67:E67"/>
    <mergeCell ref="D60:E60"/>
    <mergeCell ref="F37:G37"/>
    <mergeCell ref="G40:I40"/>
    <mergeCell ref="G45:I45"/>
    <mergeCell ref="G50:I50"/>
    <mergeCell ref="F66:G66"/>
    <mergeCell ref="F67:G67"/>
    <mergeCell ref="F23:G23"/>
    <mergeCell ref="F24:G24"/>
    <mergeCell ref="F65:G65"/>
    <mergeCell ref="F60:G60"/>
    <mergeCell ref="F61:G61"/>
    <mergeCell ref="G44:I44"/>
    <mergeCell ref="G39:I39"/>
    <mergeCell ref="G46:I46"/>
    <mergeCell ref="G47:I47"/>
    <mergeCell ref="F35:G35"/>
    <mergeCell ref="F36:G36"/>
    <mergeCell ref="F25:G25"/>
    <mergeCell ref="F26:G26"/>
    <mergeCell ref="F27:G27"/>
    <mergeCell ref="F9:G9"/>
    <mergeCell ref="F10:G10"/>
    <mergeCell ref="F13:G13"/>
    <mergeCell ref="F16:G16"/>
    <mergeCell ref="F19:G19"/>
    <mergeCell ref="A1:K1"/>
    <mergeCell ref="I2:K2"/>
    <mergeCell ref="B5:J5"/>
    <mergeCell ref="A4:B4"/>
    <mergeCell ref="B3:J3"/>
    <mergeCell ref="C4:J4"/>
    <mergeCell ref="D2:H2"/>
    <mergeCell ref="F7:G7"/>
    <mergeCell ref="F8:G8"/>
    <mergeCell ref="F6:G6"/>
    <mergeCell ref="B7:C7"/>
    <mergeCell ref="B8:C8"/>
    <mergeCell ref="B9:C9"/>
    <mergeCell ref="B10:C10"/>
    <mergeCell ref="B11:C11"/>
    <mergeCell ref="B12:C12"/>
    <mergeCell ref="B13:C13"/>
    <mergeCell ref="F20:G20"/>
    <mergeCell ref="A70:B70"/>
    <mergeCell ref="C70:J70"/>
    <mergeCell ref="A71:K71"/>
    <mergeCell ref="F72:G72"/>
    <mergeCell ref="F73:G73"/>
    <mergeCell ref="F11:G11"/>
    <mergeCell ref="F12:G12"/>
    <mergeCell ref="F14:G14"/>
    <mergeCell ref="F15:G15"/>
    <mergeCell ref="B38:J38"/>
    <mergeCell ref="B59:J59"/>
    <mergeCell ref="G57:I57"/>
    <mergeCell ref="G51:I51"/>
    <mergeCell ref="G52:I52"/>
    <mergeCell ref="G53:I53"/>
    <mergeCell ref="G48:I48"/>
    <mergeCell ref="G49:I49"/>
    <mergeCell ref="G54:I54"/>
    <mergeCell ref="G55:I55"/>
    <mergeCell ref="F28:G28"/>
    <mergeCell ref="F32:G32"/>
    <mergeCell ref="F21:G21"/>
    <mergeCell ref="F22:G22"/>
    <mergeCell ref="B16:C16"/>
    <mergeCell ref="B19:C19"/>
    <mergeCell ref="B20:C20"/>
    <mergeCell ref="B21:C21"/>
    <mergeCell ref="B22:C22"/>
    <mergeCell ref="B23:C23"/>
    <mergeCell ref="B24:C24"/>
    <mergeCell ref="B14:C14"/>
    <mergeCell ref="B15:C15"/>
    <mergeCell ref="B37:C37"/>
    <mergeCell ref="B39:C39"/>
    <mergeCell ref="B40:C40"/>
    <mergeCell ref="B44:C44"/>
    <mergeCell ref="B45:C45"/>
    <mergeCell ref="B46:C46"/>
    <mergeCell ref="B34:C34"/>
    <mergeCell ref="B25:C25"/>
    <mergeCell ref="B26:C26"/>
    <mergeCell ref="B27:C27"/>
    <mergeCell ref="B28:C28"/>
    <mergeCell ref="B32:C32"/>
    <mergeCell ref="B33:C33"/>
    <mergeCell ref="F29:G29"/>
    <mergeCell ref="F30:G30"/>
    <mergeCell ref="B56:C56"/>
    <mergeCell ref="B65:C65"/>
    <mergeCell ref="B66:C66"/>
    <mergeCell ref="B67:C67"/>
    <mergeCell ref="B68:C68"/>
    <mergeCell ref="B57:C57"/>
    <mergeCell ref="B58:C58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5:C35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2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76"/>
  <sheetViews>
    <sheetView tabSelected="1" topLeftCell="A36" zoomScale="53" zoomScaleNormal="53" workbookViewId="0">
      <selection activeCell="C39" sqref="C39"/>
    </sheetView>
  </sheetViews>
  <sheetFormatPr defaultRowHeight="45.75" customHeight="1" x14ac:dyDescent="0.35"/>
  <cols>
    <col min="1" max="1" width="7.81640625" customWidth="1"/>
    <col min="2" max="3" width="26.453125" customWidth="1"/>
    <col min="4" max="4" width="36.54296875" bestFit="1" customWidth="1"/>
    <col min="5" max="5" width="105.54296875" customWidth="1"/>
    <col min="6" max="6" width="44.26953125" customWidth="1"/>
    <col min="7" max="7" width="45.26953125" customWidth="1"/>
    <col min="8" max="8" width="49.7265625" customWidth="1"/>
  </cols>
  <sheetData>
    <row r="1" spans="1:8" ht="41.25" customHeight="1" thickBot="1" x14ac:dyDescent="0.9">
      <c r="A1" s="413" t="s">
        <v>0</v>
      </c>
      <c r="B1" s="414"/>
      <c r="C1" s="414"/>
      <c r="D1" s="414"/>
      <c r="E1" s="414"/>
      <c r="F1" s="414"/>
      <c r="G1" s="414"/>
      <c r="H1" s="415"/>
    </row>
    <row r="2" spans="1:8" ht="69" customHeight="1" thickBot="1" x14ac:dyDescent="1.7">
      <c r="A2" s="251" t="s">
        <v>33</v>
      </c>
      <c r="B2" s="416" t="s">
        <v>24</v>
      </c>
      <c r="C2" s="417"/>
      <c r="D2" s="417"/>
      <c r="E2" s="417"/>
      <c r="F2" s="418"/>
      <c r="G2" s="419" t="s">
        <v>67</v>
      </c>
      <c r="H2" s="420"/>
    </row>
    <row r="3" spans="1:8" ht="54" customHeight="1" thickBot="1" x14ac:dyDescent="0.4">
      <c r="A3" s="258"/>
      <c r="B3" s="421" t="s">
        <v>39</v>
      </c>
      <c r="C3" s="422"/>
      <c r="D3" s="5" t="s">
        <v>39</v>
      </c>
      <c r="E3" s="6" t="s">
        <v>2</v>
      </c>
      <c r="F3" s="247" t="s">
        <v>3</v>
      </c>
      <c r="G3" s="250" t="s">
        <v>8</v>
      </c>
      <c r="H3" s="249" t="s">
        <v>25</v>
      </c>
    </row>
    <row r="4" spans="1:8" s="16" customFormat="1" ht="63.75" customHeight="1" thickBot="1" x14ac:dyDescent="1.4">
      <c r="A4" s="285" t="s">
        <v>62</v>
      </c>
      <c r="B4" s="378" t="s">
        <v>61</v>
      </c>
      <c r="C4" s="379"/>
      <c r="D4" s="379"/>
      <c r="E4" s="380"/>
      <c r="F4" s="240"/>
      <c r="G4" s="106"/>
      <c r="H4" s="116"/>
    </row>
    <row r="5" spans="1:8" s="16" customFormat="1" ht="66" customHeight="1" x14ac:dyDescent="1.35">
      <c r="A5" s="259"/>
      <c r="B5" s="286"/>
      <c r="C5" s="280"/>
      <c r="D5" s="282" t="s">
        <v>163</v>
      </c>
      <c r="E5" s="64" t="s">
        <v>164</v>
      </c>
      <c r="F5" s="98"/>
      <c r="G5" s="107">
        <v>450000</v>
      </c>
      <c r="H5" s="113"/>
    </row>
    <row r="6" spans="1:8" s="16" customFormat="1" ht="66" customHeight="1" x14ac:dyDescent="1.35">
      <c r="A6" s="259"/>
      <c r="B6" s="286"/>
      <c r="C6" s="280"/>
      <c r="D6" s="282"/>
      <c r="E6" s="64" t="s">
        <v>164</v>
      </c>
      <c r="F6" s="98"/>
      <c r="G6" s="107">
        <v>8900</v>
      </c>
      <c r="H6" s="113"/>
    </row>
    <row r="7" spans="1:8" s="16" customFormat="1" ht="66" customHeight="1" x14ac:dyDescent="1.35">
      <c r="A7" s="259"/>
      <c r="B7" s="287"/>
      <c r="C7" s="281"/>
      <c r="D7" s="283" t="s">
        <v>97</v>
      </c>
      <c r="E7" s="66" t="s">
        <v>98</v>
      </c>
      <c r="F7" s="99" t="s">
        <v>71</v>
      </c>
      <c r="G7" s="107">
        <v>50000</v>
      </c>
      <c r="H7" s="113"/>
    </row>
    <row r="8" spans="1:8" s="16" customFormat="1" ht="66" customHeight="1" x14ac:dyDescent="1.35">
      <c r="A8" s="259"/>
      <c r="B8" s="287"/>
      <c r="C8" s="281"/>
      <c r="D8" s="283" t="s">
        <v>97</v>
      </c>
      <c r="E8" s="66" t="s">
        <v>134</v>
      </c>
      <c r="F8" s="99" t="s">
        <v>71</v>
      </c>
      <c r="G8" s="107">
        <v>3000</v>
      </c>
      <c r="H8" s="113"/>
    </row>
    <row r="9" spans="1:8" s="16" customFormat="1" ht="50" customHeight="1" thickBot="1" x14ac:dyDescent="1.4">
      <c r="A9" s="259"/>
      <c r="B9" s="285"/>
      <c r="C9" s="279"/>
      <c r="D9" s="284"/>
      <c r="E9" s="68"/>
      <c r="F9" s="100"/>
      <c r="G9" s="107"/>
      <c r="H9" s="113"/>
    </row>
    <row r="10" spans="1:8" s="16" customFormat="1" ht="66" customHeight="1" thickBot="1" x14ac:dyDescent="1.4">
      <c r="A10" s="259"/>
      <c r="B10" s="378" t="s">
        <v>46</v>
      </c>
      <c r="C10" s="379"/>
      <c r="D10" s="379"/>
      <c r="E10" s="380"/>
      <c r="F10" s="214" t="s">
        <v>47</v>
      </c>
      <c r="G10" s="108"/>
      <c r="H10" s="113"/>
    </row>
    <row r="11" spans="1:8" s="16" customFormat="1" ht="66" customHeight="1" x14ac:dyDescent="1.65">
      <c r="A11" s="259"/>
      <c r="B11" s="311"/>
      <c r="C11" s="288"/>
      <c r="D11" s="290"/>
      <c r="E11" s="44"/>
      <c r="F11" s="101">
        <v>91</v>
      </c>
      <c r="G11" s="341">
        <v>300</v>
      </c>
      <c r="H11" s="113"/>
    </row>
    <row r="12" spans="1:8" s="16" customFormat="1" ht="66" customHeight="1" x14ac:dyDescent="1.65">
      <c r="A12" s="231"/>
      <c r="B12" s="291"/>
      <c r="C12" s="289"/>
      <c r="D12" s="45"/>
      <c r="E12" s="13"/>
      <c r="F12" s="78">
        <v>92</v>
      </c>
      <c r="G12" s="341">
        <v>150</v>
      </c>
      <c r="H12" s="113"/>
    </row>
    <row r="13" spans="1:8" s="16" customFormat="1" ht="66" customHeight="1" x14ac:dyDescent="1.65">
      <c r="A13" s="231"/>
      <c r="B13" s="291"/>
      <c r="C13" s="289"/>
      <c r="D13" s="45"/>
      <c r="E13" s="13"/>
      <c r="F13" s="78">
        <v>93</v>
      </c>
      <c r="G13" s="341">
        <v>150</v>
      </c>
      <c r="H13" s="113"/>
    </row>
    <row r="14" spans="1:8" s="16" customFormat="1" ht="66" customHeight="1" x14ac:dyDescent="1.65">
      <c r="A14" s="231"/>
      <c r="B14" s="291"/>
      <c r="C14" s="289"/>
      <c r="D14" s="45"/>
      <c r="E14" s="13"/>
      <c r="F14" s="121">
        <v>95</v>
      </c>
      <c r="G14" s="341">
        <v>200</v>
      </c>
      <c r="H14" s="113"/>
    </row>
    <row r="15" spans="1:8" s="16" customFormat="1" ht="66" customHeight="1" x14ac:dyDescent="1.65">
      <c r="A15" s="231"/>
      <c r="B15" s="291"/>
      <c r="C15" s="289"/>
      <c r="D15" s="45"/>
      <c r="E15" s="13"/>
      <c r="F15" s="121">
        <v>96</v>
      </c>
      <c r="G15" s="341">
        <v>250</v>
      </c>
      <c r="H15" s="113"/>
    </row>
    <row r="16" spans="1:8" s="16" customFormat="1" ht="66" customHeight="1" x14ac:dyDescent="1.65">
      <c r="A16" s="231"/>
      <c r="B16" s="291"/>
      <c r="C16" s="289"/>
      <c r="D16" s="45"/>
      <c r="E16" s="13"/>
      <c r="F16" s="121">
        <v>97</v>
      </c>
      <c r="G16" s="341">
        <v>250</v>
      </c>
      <c r="H16" s="113"/>
    </row>
    <row r="17" spans="1:8" s="16" customFormat="1" ht="66" customHeight="1" x14ac:dyDescent="1.65">
      <c r="A17" s="231"/>
      <c r="B17" s="291"/>
      <c r="C17" s="289"/>
      <c r="D17" s="45"/>
      <c r="E17" s="13"/>
      <c r="F17" s="121">
        <v>99</v>
      </c>
      <c r="G17" s="341">
        <v>200</v>
      </c>
      <c r="H17" s="113"/>
    </row>
    <row r="18" spans="1:8" s="16" customFormat="1" ht="66" customHeight="1" x14ac:dyDescent="1.65">
      <c r="A18" s="231"/>
      <c r="B18" s="291"/>
      <c r="C18" s="289"/>
      <c r="D18" s="45"/>
      <c r="E18" s="13"/>
      <c r="F18" s="78">
        <v>1</v>
      </c>
      <c r="G18" s="341">
        <v>200</v>
      </c>
      <c r="H18" s="113"/>
    </row>
    <row r="19" spans="1:8" s="16" customFormat="1" ht="54.5" customHeight="1" thickBot="1" x14ac:dyDescent="1.7">
      <c r="A19" s="231"/>
      <c r="B19" s="291"/>
      <c r="C19" s="289"/>
      <c r="D19" s="45"/>
      <c r="E19" s="13"/>
      <c r="F19" s="208"/>
      <c r="G19" s="245"/>
      <c r="H19" s="113"/>
    </row>
    <row r="20" spans="1:8" s="16" customFormat="1" ht="66" customHeight="1" thickBot="1" x14ac:dyDescent="1.7">
      <c r="A20" s="231"/>
      <c r="B20" s="252"/>
      <c r="C20" s="252"/>
      <c r="D20" s="252"/>
      <c r="E20" s="272"/>
      <c r="F20" s="85" t="s">
        <v>10</v>
      </c>
      <c r="G20" s="235">
        <f>SUM(G11:G19)</f>
        <v>1700</v>
      </c>
      <c r="H20" s="113"/>
    </row>
    <row r="21" spans="1:8" s="16" customFormat="1" ht="63" customHeight="1" thickBot="1" x14ac:dyDescent="1.4">
      <c r="A21" s="297"/>
      <c r="B21" s="435" t="s">
        <v>51</v>
      </c>
      <c r="C21" s="436"/>
      <c r="D21" s="436"/>
      <c r="E21" s="437"/>
      <c r="F21" s="308"/>
      <c r="G21" s="246"/>
      <c r="H21" s="113"/>
    </row>
    <row r="22" spans="1:8" s="16" customFormat="1" ht="66" customHeight="1" thickBot="1" x14ac:dyDescent="1.7">
      <c r="A22" s="297"/>
      <c r="B22" s="296"/>
      <c r="C22" s="295"/>
      <c r="D22" s="309" t="s">
        <v>38</v>
      </c>
      <c r="E22" s="310" t="s">
        <v>20</v>
      </c>
      <c r="F22" s="248" t="s">
        <v>22</v>
      </c>
      <c r="G22" s="109"/>
      <c r="H22" s="116"/>
    </row>
    <row r="23" spans="1:8" s="16" customFormat="1" ht="66" customHeight="1" x14ac:dyDescent="1.65">
      <c r="A23" s="231"/>
      <c r="B23" s="298"/>
      <c r="C23" s="292"/>
      <c r="D23" s="117">
        <v>91</v>
      </c>
      <c r="E23" s="46">
        <v>3.18</v>
      </c>
      <c r="F23" s="47"/>
      <c r="G23" s="341">
        <v>37800</v>
      </c>
      <c r="H23" s="113"/>
    </row>
    <row r="24" spans="1:8" s="16" customFormat="1" ht="66" customHeight="1" x14ac:dyDescent="1.65">
      <c r="A24" s="231"/>
      <c r="B24" s="298"/>
      <c r="C24" s="292"/>
      <c r="D24" s="118">
        <v>92</v>
      </c>
      <c r="E24" s="48"/>
      <c r="F24" s="49">
        <v>8</v>
      </c>
      <c r="G24" s="342">
        <v>900</v>
      </c>
      <c r="H24" s="113"/>
    </row>
    <row r="25" spans="1:8" s="16" customFormat="1" ht="66" customHeight="1" x14ac:dyDescent="1.65">
      <c r="A25" s="231"/>
      <c r="B25" s="298"/>
      <c r="C25" s="292"/>
      <c r="D25" s="118">
        <v>96</v>
      </c>
      <c r="E25" s="48">
        <v>2.1</v>
      </c>
      <c r="F25" s="49">
        <v>60</v>
      </c>
      <c r="G25" s="342">
        <v>31450</v>
      </c>
      <c r="H25" s="113"/>
    </row>
    <row r="26" spans="1:8" s="16" customFormat="1" ht="66" customHeight="1" x14ac:dyDescent="1.65">
      <c r="A26" s="231"/>
      <c r="B26" s="298"/>
      <c r="C26" s="292"/>
      <c r="D26" s="318">
        <v>98</v>
      </c>
      <c r="E26" s="48"/>
      <c r="F26" s="317">
        <v>52</v>
      </c>
      <c r="G26" s="342">
        <v>7500</v>
      </c>
      <c r="H26" s="113"/>
    </row>
    <row r="27" spans="1:8" s="16" customFormat="1" ht="66" customHeight="1" x14ac:dyDescent="1.65">
      <c r="A27" s="231"/>
      <c r="B27" s="298"/>
      <c r="C27" s="292"/>
      <c r="D27" s="318">
        <v>99</v>
      </c>
      <c r="E27" s="48"/>
      <c r="F27" s="317">
        <v>89</v>
      </c>
      <c r="G27" s="342">
        <v>13000</v>
      </c>
      <c r="H27" s="113"/>
    </row>
    <row r="28" spans="1:8" s="16" customFormat="1" ht="66" customHeight="1" x14ac:dyDescent="1.65">
      <c r="A28" s="231"/>
      <c r="B28" s="298"/>
      <c r="C28" s="292"/>
      <c r="D28" s="326">
        <v>1</v>
      </c>
      <c r="E28" s="48">
        <v>0.2</v>
      </c>
      <c r="F28" s="325">
        <v>113</v>
      </c>
      <c r="G28" s="342">
        <v>16400</v>
      </c>
      <c r="H28" s="113"/>
    </row>
    <row r="29" spans="1:8" s="16" customFormat="1" ht="66" customHeight="1" x14ac:dyDescent="1.65">
      <c r="A29" s="231"/>
      <c r="B29" s="298"/>
      <c r="C29" s="292"/>
      <c r="D29" s="118" t="s">
        <v>118</v>
      </c>
      <c r="E29" s="48"/>
      <c r="F29" s="49">
        <v>2</v>
      </c>
      <c r="G29" s="342">
        <v>150</v>
      </c>
      <c r="H29" s="113"/>
    </row>
    <row r="30" spans="1:8" s="16" customFormat="1" ht="66" customHeight="1" x14ac:dyDescent="1.65">
      <c r="A30" s="231"/>
      <c r="B30" s="298"/>
      <c r="C30" s="292"/>
      <c r="D30" s="312" t="s">
        <v>125</v>
      </c>
      <c r="E30" s="48">
        <v>7.0000000000000007E-2</v>
      </c>
      <c r="F30" s="49"/>
      <c r="G30" s="342">
        <v>200</v>
      </c>
      <c r="H30" s="113"/>
    </row>
    <row r="31" spans="1:8" s="16" customFormat="1" ht="66" customHeight="1" x14ac:dyDescent="1.65">
      <c r="A31" s="231"/>
      <c r="B31" s="298"/>
      <c r="C31" s="292"/>
      <c r="D31" s="318" t="s">
        <v>109</v>
      </c>
      <c r="E31" s="48">
        <v>0.23</v>
      </c>
      <c r="F31" s="317"/>
      <c r="G31" s="342">
        <v>1500</v>
      </c>
      <c r="H31" s="113"/>
    </row>
    <row r="32" spans="1:8" s="16" customFormat="1" ht="66" customHeight="1" x14ac:dyDescent="1.65">
      <c r="A32" s="231"/>
      <c r="B32" s="298"/>
      <c r="C32" s="292"/>
      <c r="D32" s="326" t="s">
        <v>144</v>
      </c>
      <c r="E32" s="48">
        <v>2.36</v>
      </c>
      <c r="F32" s="325"/>
      <c r="G32" s="330"/>
      <c r="H32" s="113"/>
    </row>
    <row r="33" spans="1:8" s="16" customFormat="1" ht="66" customHeight="1" x14ac:dyDescent="1.65">
      <c r="A33" s="231"/>
      <c r="B33" s="298"/>
      <c r="C33" s="292"/>
      <c r="D33" s="326" t="s">
        <v>147</v>
      </c>
      <c r="E33" s="48" t="s">
        <v>149</v>
      </c>
      <c r="F33" s="325"/>
      <c r="G33" s="342">
        <v>1400</v>
      </c>
      <c r="H33" s="113"/>
    </row>
    <row r="34" spans="1:8" s="16" customFormat="1" ht="66" customHeight="1" x14ac:dyDescent="1.65">
      <c r="A34" s="231"/>
      <c r="B34" s="298"/>
      <c r="C34" s="292"/>
      <c r="D34" s="238" t="s">
        <v>40</v>
      </c>
      <c r="E34" s="48">
        <v>11.21</v>
      </c>
      <c r="F34" s="49">
        <v>10</v>
      </c>
      <c r="G34" s="342">
        <v>128000</v>
      </c>
      <c r="H34" s="113"/>
    </row>
    <row r="35" spans="1:8" s="16" customFormat="1" ht="66" customHeight="1" x14ac:dyDescent="1.65">
      <c r="A35" s="231"/>
      <c r="B35" s="298"/>
      <c r="C35" s="292"/>
      <c r="D35" s="238" t="s">
        <v>40</v>
      </c>
      <c r="E35" s="48">
        <v>9.17</v>
      </c>
      <c r="F35" s="50"/>
      <c r="G35" s="342">
        <v>104000</v>
      </c>
      <c r="H35" s="113"/>
    </row>
    <row r="36" spans="1:8" s="16" customFormat="1" ht="66" customHeight="1" x14ac:dyDescent="1.65">
      <c r="A36" s="231"/>
      <c r="B36" s="298"/>
      <c r="C36" s="292"/>
      <c r="D36" s="238" t="s">
        <v>40</v>
      </c>
      <c r="E36" s="48">
        <v>3.6</v>
      </c>
      <c r="F36" s="313"/>
      <c r="G36" s="342">
        <v>40500</v>
      </c>
      <c r="H36" s="113"/>
    </row>
    <row r="37" spans="1:8" s="16" customFormat="1" ht="66" customHeight="1" x14ac:dyDescent="1.65">
      <c r="A37" s="231"/>
      <c r="B37" s="298"/>
      <c r="C37" s="292"/>
      <c r="D37" s="238" t="s">
        <v>40</v>
      </c>
      <c r="E37" s="48">
        <v>0.61</v>
      </c>
      <c r="F37" s="313">
        <v>99</v>
      </c>
      <c r="G37" s="342">
        <v>20500</v>
      </c>
      <c r="H37" s="113"/>
    </row>
    <row r="38" spans="1:8" s="16" customFormat="1" ht="51" customHeight="1" thickBot="1" x14ac:dyDescent="1.7">
      <c r="A38" s="231"/>
      <c r="B38" s="298"/>
      <c r="C38" s="292"/>
      <c r="D38" s="119"/>
      <c r="E38" s="51"/>
      <c r="F38" s="50"/>
      <c r="G38" s="111"/>
      <c r="H38" s="113"/>
    </row>
    <row r="39" spans="1:8" s="16" customFormat="1" ht="66" customHeight="1" thickBot="1" x14ac:dyDescent="1.7">
      <c r="A39" s="231"/>
      <c r="B39" s="293"/>
      <c r="C39" s="294"/>
      <c r="D39" s="239" t="s">
        <v>10</v>
      </c>
      <c r="E39" s="241">
        <f>SUM(E23:E38)</f>
        <v>32.730000000000004</v>
      </c>
      <c r="F39" s="81">
        <f>SUM(F23:F38)</f>
        <v>433</v>
      </c>
      <c r="G39" s="235">
        <f>SUM(G23:G38)</f>
        <v>403300</v>
      </c>
      <c r="H39" s="113"/>
    </row>
    <row r="40" spans="1:8" s="16" customFormat="1" ht="46" customHeight="1" thickBot="1" x14ac:dyDescent="1.4">
      <c r="A40" s="231"/>
      <c r="B40" s="52"/>
      <c r="C40" s="52"/>
      <c r="D40" s="52"/>
      <c r="E40" s="52"/>
      <c r="F40" s="52"/>
      <c r="G40" s="108"/>
      <c r="H40" s="113"/>
    </row>
    <row r="41" spans="1:8" s="16" customFormat="1" ht="68.25" customHeight="1" thickBot="1" x14ac:dyDescent="1.4">
      <c r="A41" s="231" t="s">
        <v>60</v>
      </c>
      <c r="B41" s="379" t="s">
        <v>23</v>
      </c>
      <c r="C41" s="379"/>
      <c r="D41" s="379"/>
      <c r="E41" s="380"/>
      <c r="F41" s="197"/>
      <c r="G41" s="230"/>
      <c r="H41" s="113"/>
    </row>
    <row r="42" spans="1:8" s="16" customFormat="1" ht="66" customHeight="1" x14ac:dyDescent="1.65">
      <c r="A42" s="231"/>
      <c r="B42" s="301"/>
      <c r="C42" s="302">
        <v>91</v>
      </c>
      <c r="D42" s="69"/>
      <c r="E42" s="70" t="s">
        <v>106</v>
      </c>
      <c r="F42" s="60" t="s">
        <v>107</v>
      </c>
      <c r="G42" s="341">
        <v>19400</v>
      </c>
      <c r="H42" s="113"/>
    </row>
    <row r="43" spans="1:8" s="16" customFormat="1" ht="111.5" customHeight="1" x14ac:dyDescent="1.65">
      <c r="A43" s="231"/>
      <c r="B43" s="299"/>
      <c r="C43" s="300">
        <v>92</v>
      </c>
      <c r="D43" s="69"/>
      <c r="E43" s="70" t="s">
        <v>110</v>
      </c>
      <c r="F43" s="102" t="s">
        <v>71</v>
      </c>
      <c r="G43" s="341">
        <v>2700</v>
      </c>
      <c r="H43" s="113">
        <v>9131260955</v>
      </c>
    </row>
    <row r="44" spans="1:8" s="16" customFormat="1" ht="107.5" customHeight="1" x14ac:dyDescent="1.65">
      <c r="A44" s="231"/>
      <c r="B44" s="299"/>
      <c r="C44" s="300">
        <v>97</v>
      </c>
      <c r="D44" s="69"/>
      <c r="E44" s="70" t="s">
        <v>132</v>
      </c>
      <c r="F44" s="102" t="s">
        <v>71</v>
      </c>
      <c r="G44" s="341">
        <v>12500</v>
      </c>
      <c r="H44" s="113">
        <v>8959696471</v>
      </c>
    </row>
    <row r="45" spans="1:8" s="16" customFormat="1" ht="117" customHeight="1" x14ac:dyDescent="1.65">
      <c r="A45" s="231"/>
      <c r="B45" s="299"/>
      <c r="C45" s="300">
        <v>1</v>
      </c>
      <c r="D45" s="69"/>
      <c r="E45" s="70" t="s">
        <v>158</v>
      </c>
      <c r="F45" s="102" t="s">
        <v>85</v>
      </c>
      <c r="G45" s="341">
        <v>5000</v>
      </c>
      <c r="H45" s="113">
        <v>6261060592</v>
      </c>
    </row>
    <row r="46" spans="1:8" s="16" customFormat="1" ht="66" customHeight="1" x14ac:dyDescent="1.65">
      <c r="A46" s="231"/>
      <c r="B46" s="299"/>
      <c r="C46" s="300" t="s">
        <v>118</v>
      </c>
      <c r="D46" s="69"/>
      <c r="E46" s="70" t="s">
        <v>120</v>
      </c>
      <c r="F46" s="102" t="s">
        <v>121</v>
      </c>
      <c r="G46" s="341">
        <v>250</v>
      </c>
      <c r="H46" s="113"/>
    </row>
    <row r="47" spans="1:8" s="16" customFormat="1" ht="66" customHeight="1" x14ac:dyDescent="1.65">
      <c r="A47" s="231"/>
      <c r="B47" s="299"/>
      <c r="C47" s="300" t="s">
        <v>144</v>
      </c>
      <c r="D47" s="69"/>
      <c r="E47" s="70" t="s">
        <v>145</v>
      </c>
      <c r="F47" s="102" t="s">
        <v>146</v>
      </c>
      <c r="G47" s="341">
        <v>5300</v>
      </c>
      <c r="H47" s="113"/>
    </row>
    <row r="48" spans="1:8" s="16" customFormat="1" ht="121.5" customHeight="1" x14ac:dyDescent="1.65">
      <c r="A48" s="231"/>
      <c r="B48" s="299"/>
      <c r="C48" s="300" t="s">
        <v>152</v>
      </c>
      <c r="D48" s="69"/>
      <c r="E48" s="70" t="s">
        <v>153</v>
      </c>
      <c r="F48" s="102" t="s">
        <v>71</v>
      </c>
      <c r="G48" s="341">
        <v>350</v>
      </c>
      <c r="H48" s="113">
        <v>8602122204</v>
      </c>
    </row>
    <row r="49" spans="1:8" s="16" customFormat="1" ht="50" customHeight="1" thickBot="1" x14ac:dyDescent="1.7">
      <c r="A49" s="231"/>
      <c r="B49" s="299"/>
      <c r="C49" s="300"/>
      <c r="D49" s="69"/>
      <c r="E49" s="69"/>
      <c r="F49" s="103"/>
      <c r="G49" s="111"/>
      <c r="H49" s="113"/>
    </row>
    <row r="50" spans="1:8" s="16" customFormat="1" ht="66" customHeight="1" thickBot="1" x14ac:dyDescent="1.7">
      <c r="A50" s="231"/>
      <c r="B50" s="271"/>
      <c r="C50" s="253"/>
      <c r="D50" s="253"/>
      <c r="E50" s="270"/>
      <c r="F50" s="210" t="s">
        <v>10</v>
      </c>
      <c r="G50" s="235">
        <f>SUM(G42:G49)</f>
        <v>45500</v>
      </c>
      <c r="H50" s="113"/>
    </row>
    <row r="51" spans="1:8" s="16" customFormat="1" ht="66" customHeight="1" thickBot="1" x14ac:dyDescent="1.7">
      <c r="A51" s="259"/>
      <c r="B51" s="378" t="s">
        <v>63</v>
      </c>
      <c r="C51" s="379"/>
      <c r="D51" s="379"/>
      <c r="E51" s="380"/>
      <c r="F51" s="256"/>
      <c r="G51" s="109"/>
      <c r="H51" s="113"/>
    </row>
    <row r="52" spans="1:8" s="16" customFormat="1" ht="66" customHeight="1" x14ac:dyDescent="1.65">
      <c r="A52" s="259"/>
      <c r="B52" s="304"/>
      <c r="C52" s="300"/>
      <c r="D52" s="303" t="s">
        <v>118</v>
      </c>
      <c r="E52" s="70"/>
      <c r="F52" s="60"/>
      <c r="G52" s="327">
        <v>900</v>
      </c>
      <c r="H52" s="316">
        <v>46070</v>
      </c>
    </row>
    <row r="53" spans="1:8" s="16" customFormat="1" ht="66" customHeight="1" x14ac:dyDescent="1.65">
      <c r="A53" s="231"/>
      <c r="B53" s="304"/>
      <c r="C53" s="300"/>
      <c r="D53" s="71" t="s">
        <v>126</v>
      </c>
      <c r="E53" s="70" t="s">
        <v>129</v>
      </c>
      <c r="F53" s="60" t="s">
        <v>71</v>
      </c>
      <c r="G53" s="327">
        <v>5000</v>
      </c>
      <c r="H53" s="113"/>
    </row>
    <row r="54" spans="1:8" s="16" customFormat="1" ht="58.5" customHeight="1" thickBot="1" x14ac:dyDescent="1.7">
      <c r="A54" s="231"/>
      <c r="B54" s="304"/>
      <c r="C54" s="300"/>
      <c r="D54" s="69"/>
      <c r="E54" s="70"/>
      <c r="F54" s="103"/>
      <c r="G54" s="111"/>
      <c r="H54" s="113"/>
    </row>
    <row r="55" spans="1:8" s="16" customFormat="1" ht="66" customHeight="1" thickBot="1" x14ac:dyDescent="1.7">
      <c r="A55" s="231"/>
      <c r="B55" s="253"/>
      <c r="C55" s="253"/>
      <c r="D55" s="253"/>
      <c r="E55" s="253"/>
      <c r="F55" s="85" t="s">
        <v>10</v>
      </c>
      <c r="G55" s="235">
        <f>SUM(G52:G54)</f>
        <v>5900</v>
      </c>
      <c r="H55" s="113"/>
    </row>
    <row r="56" spans="1:8" s="16" customFormat="1" ht="70.5" customHeight="1" thickBot="1" x14ac:dyDescent="1.7">
      <c r="A56" s="259"/>
      <c r="B56" s="378" t="s">
        <v>48</v>
      </c>
      <c r="C56" s="379"/>
      <c r="D56" s="379"/>
      <c r="E56" s="380"/>
      <c r="F56" s="242" t="s">
        <v>49</v>
      </c>
      <c r="G56" s="109"/>
      <c r="H56" s="113"/>
    </row>
    <row r="57" spans="1:8" s="16" customFormat="1" ht="66" customHeight="1" x14ac:dyDescent="1.65">
      <c r="A57" s="259"/>
      <c r="B57" s="306"/>
      <c r="C57" s="302"/>
      <c r="D57" s="257"/>
      <c r="E57" s="65"/>
      <c r="F57" s="104">
        <v>895</v>
      </c>
      <c r="G57" s="110">
        <v>10000</v>
      </c>
      <c r="H57" s="113"/>
    </row>
    <row r="58" spans="1:8" s="16" customFormat="1" ht="66" customHeight="1" x14ac:dyDescent="1.65">
      <c r="A58" s="231"/>
      <c r="B58" s="304"/>
      <c r="C58" s="300"/>
      <c r="D58" s="31"/>
      <c r="E58" s="65"/>
      <c r="F58" s="104">
        <v>896</v>
      </c>
      <c r="G58" s="110">
        <v>6000</v>
      </c>
      <c r="H58" s="113"/>
    </row>
    <row r="59" spans="1:8" s="16" customFormat="1" ht="66" customHeight="1" x14ac:dyDescent="1.65">
      <c r="A59" s="231"/>
      <c r="B59" s="304"/>
      <c r="C59" s="300"/>
      <c r="D59" s="32"/>
      <c r="E59" s="67" t="s">
        <v>99</v>
      </c>
      <c r="F59" s="104" t="s">
        <v>96</v>
      </c>
      <c r="G59" s="110">
        <v>20000</v>
      </c>
      <c r="H59" s="113"/>
    </row>
    <row r="60" spans="1:8" s="16" customFormat="1" ht="66" customHeight="1" x14ac:dyDescent="1.65">
      <c r="A60" s="231"/>
      <c r="B60" s="304"/>
      <c r="C60" s="300"/>
      <c r="D60" s="32"/>
      <c r="E60" s="67" t="s">
        <v>100</v>
      </c>
      <c r="F60" s="104" t="s">
        <v>96</v>
      </c>
      <c r="G60" s="110">
        <v>40000</v>
      </c>
      <c r="H60" s="113"/>
    </row>
    <row r="61" spans="1:8" s="16" customFormat="1" ht="66" customHeight="1" x14ac:dyDescent="1.65">
      <c r="A61" s="231"/>
      <c r="B61" s="304"/>
      <c r="C61" s="300"/>
      <c r="D61" s="32"/>
      <c r="E61" s="67" t="s">
        <v>101</v>
      </c>
      <c r="F61" s="104" t="s">
        <v>96</v>
      </c>
      <c r="G61" s="110">
        <v>150000</v>
      </c>
      <c r="H61" s="113"/>
    </row>
    <row r="62" spans="1:8" s="16" customFormat="1" ht="66" customHeight="1" thickBot="1" x14ac:dyDescent="1.7">
      <c r="A62" s="231"/>
      <c r="B62" s="304"/>
      <c r="C62" s="300"/>
      <c r="D62" s="204"/>
      <c r="E62" s="120"/>
      <c r="F62" s="243"/>
      <c r="G62" s="111"/>
      <c r="H62" s="113"/>
    </row>
    <row r="63" spans="1:8" s="16" customFormat="1" ht="66" customHeight="1" thickBot="1" x14ac:dyDescent="1.7">
      <c r="A63" s="259"/>
      <c r="B63" s="307"/>
      <c r="C63" s="254"/>
      <c r="D63" s="254"/>
      <c r="E63" s="255"/>
      <c r="F63" s="244" t="s">
        <v>10</v>
      </c>
      <c r="G63" s="235">
        <f>SUM(G57:G62)</f>
        <v>226000</v>
      </c>
      <c r="H63" s="113"/>
    </row>
    <row r="64" spans="1:8" s="16" customFormat="1" ht="53" customHeight="1" x14ac:dyDescent="1.65">
      <c r="A64" s="259"/>
      <c r="B64" s="306"/>
      <c r="C64" s="302"/>
      <c r="D64" s="305"/>
      <c r="E64" s="44"/>
      <c r="F64" s="105"/>
      <c r="G64" s="109"/>
      <c r="H64" s="113"/>
    </row>
    <row r="65" spans="1:8" s="16" customFormat="1" ht="66" customHeight="1" x14ac:dyDescent="1.65">
      <c r="A65" s="231"/>
      <c r="B65" s="304"/>
      <c r="C65" s="300"/>
      <c r="D65" s="44"/>
      <c r="E65" s="44"/>
      <c r="F65" s="61" t="s">
        <v>50</v>
      </c>
      <c r="G65" s="345">
        <v>140</v>
      </c>
      <c r="H65" s="113" t="s">
        <v>165</v>
      </c>
    </row>
    <row r="66" spans="1:8" s="16" customFormat="1" ht="66" customHeight="1" x14ac:dyDescent="1.65">
      <c r="A66" s="231"/>
      <c r="B66" s="304"/>
      <c r="C66" s="300"/>
      <c r="D66" s="13"/>
      <c r="E66" s="13"/>
      <c r="F66" s="62" t="s">
        <v>46</v>
      </c>
      <c r="G66" s="341">
        <v>2000</v>
      </c>
      <c r="H66" s="113" t="s">
        <v>166</v>
      </c>
    </row>
    <row r="67" spans="1:8" s="16" customFormat="1" ht="66" customHeight="1" x14ac:dyDescent="1.65">
      <c r="A67" s="231"/>
      <c r="B67" s="304"/>
      <c r="C67" s="300"/>
      <c r="D67" s="13"/>
      <c r="E67" s="13"/>
      <c r="F67" s="63" t="s">
        <v>26</v>
      </c>
      <c r="G67" s="341">
        <v>255</v>
      </c>
      <c r="H67" s="113"/>
    </row>
    <row r="68" spans="1:8" s="16" customFormat="1" ht="47" customHeight="1" thickBot="1" x14ac:dyDescent="1.7">
      <c r="A68" s="232"/>
      <c r="B68" s="304"/>
      <c r="C68" s="300"/>
      <c r="D68" s="233"/>
      <c r="E68" s="233"/>
      <c r="F68" s="234"/>
      <c r="G68" s="111"/>
      <c r="H68" s="114"/>
    </row>
    <row r="69" spans="1:8" s="16" customFormat="1" ht="83.25" customHeight="1" thickBot="1" x14ac:dyDescent="1.7">
      <c r="A69" s="426" t="s">
        <v>15</v>
      </c>
      <c r="B69" s="427"/>
      <c r="C69" s="428"/>
      <c r="D69" s="429"/>
      <c r="E69" s="429"/>
      <c r="F69" s="429"/>
      <c r="G69" s="235">
        <f>G67+G66+G65+G63+G55+G50+G39+G20+G8+G7+G6+G5</f>
        <v>1196695</v>
      </c>
      <c r="H69" s="115"/>
    </row>
    <row r="70" spans="1:8" s="16" customFormat="1" ht="66" customHeight="1" thickBot="1" x14ac:dyDescent="1.4">
      <c r="A70" s="423"/>
      <c r="B70" s="424"/>
      <c r="C70" s="424"/>
      <c r="D70" s="424"/>
      <c r="E70" s="424"/>
      <c r="F70" s="424"/>
      <c r="G70" s="424"/>
      <c r="H70" s="425"/>
    </row>
    <row r="71" spans="1:8" s="16" customFormat="1" ht="76.5" customHeight="1" thickBot="1" x14ac:dyDescent="1.4">
      <c r="A71" s="430" t="s">
        <v>16</v>
      </c>
      <c r="B71" s="431"/>
      <c r="C71" s="372"/>
      <c r="D71" s="53"/>
      <c r="E71" s="218" t="s">
        <v>17</v>
      </c>
      <c r="F71" s="54" t="s">
        <v>18</v>
      </c>
      <c r="G71" s="55" t="s">
        <v>19</v>
      </c>
      <c r="H71" s="269" t="s">
        <v>64</v>
      </c>
    </row>
    <row r="72" spans="1:8" s="16" customFormat="1" ht="107.25" customHeight="1" thickBot="1" x14ac:dyDescent="1.7">
      <c r="A72" s="432">
        <f>'आवक '!K70</f>
        <v>1367690</v>
      </c>
      <c r="B72" s="433"/>
      <c r="C72" s="434"/>
      <c r="D72" s="112" t="s">
        <v>39</v>
      </c>
      <c r="E72" s="56">
        <f>G69</f>
        <v>1196695</v>
      </c>
      <c r="F72" s="57"/>
      <c r="G72" s="58">
        <v>150</v>
      </c>
      <c r="H72" s="59">
        <f>A72-E72-G72</f>
        <v>170845</v>
      </c>
    </row>
    <row r="73" spans="1:8" s="16" customFormat="1" ht="66" customHeight="1" x14ac:dyDescent="1.35"/>
    <row r="74" spans="1:8" s="16" customFormat="1" ht="45.75" customHeight="1" x14ac:dyDescent="1.35"/>
    <row r="75" spans="1:8" s="16" customFormat="1" ht="45.75" customHeight="1" x14ac:dyDescent="1.35"/>
    <row r="76" spans="1:8" s="16" customFormat="1" ht="45.75" customHeight="1" x14ac:dyDescent="1.35"/>
  </sheetData>
  <mergeCells count="15">
    <mergeCell ref="A71:C71"/>
    <mergeCell ref="A72:C72"/>
    <mergeCell ref="B10:E10"/>
    <mergeCell ref="B21:E21"/>
    <mergeCell ref="B41:E41"/>
    <mergeCell ref="B56:E56"/>
    <mergeCell ref="A1:H1"/>
    <mergeCell ref="B2:F2"/>
    <mergeCell ref="G2:H2"/>
    <mergeCell ref="B3:C3"/>
    <mergeCell ref="A70:H70"/>
    <mergeCell ref="A69:B69"/>
    <mergeCell ref="C69:F69"/>
    <mergeCell ref="B4:E4"/>
    <mergeCell ref="B51:E51"/>
  </mergeCells>
  <printOptions horizontalCentered="1"/>
  <pageMargins left="0.19685039370078741" right="0.23622047244094491" top="0.19685039370078741" bottom="0.19685039370078741" header="0.31496062992125984" footer="0.31496062992125984"/>
  <pageSetup paperSize="9" scale="2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K30"/>
  <sheetViews>
    <sheetView topLeftCell="A2" zoomScale="37" zoomScaleNormal="37" workbookViewId="0">
      <selection activeCell="Y20" sqref="Y20"/>
    </sheetView>
  </sheetViews>
  <sheetFormatPr defaultRowHeight="14.5" x14ac:dyDescent="0.35"/>
  <cols>
    <col min="2" max="2" width="18.81640625" bestFit="1" customWidth="1"/>
    <col min="3" max="3" width="22.26953125" customWidth="1"/>
    <col min="4" max="4" width="17.54296875" customWidth="1"/>
    <col min="5" max="5" width="26" customWidth="1"/>
    <col min="6" max="6" width="18.7265625" customWidth="1"/>
    <col min="7" max="7" width="25" customWidth="1"/>
    <col min="8" max="8" width="20.26953125" customWidth="1"/>
    <col min="9" max="9" width="23.81640625" customWidth="1"/>
    <col min="10" max="10" width="17.54296875" hidden="1" customWidth="1"/>
    <col min="11" max="11" width="24.453125" hidden="1" customWidth="1"/>
    <col min="12" max="12" width="17.81640625" hidden="1" customWidth="1"/>
    <col min="13" max="13" width="24.81640625" hidden="1" customWidth="1"/>
    <col min="14" max="14" width="21" hidden="1" customWidth="1"/>
    <col min="15" max="15" width="21.453125" hidden="1" customWidth="1"/>
    <col min="16" max="16" width="22.54296875" hidden="1" customWidth="1"/>
    <col min="17" max="17" width="22.81640625" hidden="1" customWidth="1"/>
    <col min="18" max="18" width="21.81640625" hidden="1" customWidth="1"/>
    <col min="19" max="19" width="22.26953125" hidden="1" customWidth="1"/>
    <col min="20" max="20" width="19.453125" hidden="1" customWidth="1"/>
    <col min="21" max="21" width="24.7265625" hidden="1" customWidth="1"/>
    <col min="22" max="22" width="19.453125" hidden="1" customWidth="1"/>
    <col min="23" max="23" width="28" customWidth="1"/>
    <col min="24" max="24" width="26.54296875" customWidth="1"/>
    <col min="25" max="25" width="27.54296875" customWidth="1"/>
    <col min="26" max="26" width="30.453125" customWidth="1"/>
    <col min="27" max="27" width="20.7265625" customWidth="1"/>
    <col min="28" max="28" width="32.7265625" customWidth="1"/>
    <col min="29" max="29" width="5" customWidth="1"/>
    <col min="30" max="30" width="16.81640625" customWidth="1"/>
    <col min="31" max="31" width="24.1796875" customWidth="1"/>
    <col min="32" max="32" width="17.81640625" bestFit="1" customWidth="1"/>
    <col min="33" max="33" width="21" bestFit="1" customWidth="1"/>
    <col min="34" max="34" width="17.81640625" customWidth="1"/>
    <col min="35" max="35" width="21.54296875" customWidth="1"/>
  </cols>
  <sheetData>
    <row r="1" spans="2:36" ht="53.25" customHeight="1" thickBot="1" x14ac:dyDescent="0.5">
      <c r="B1" s="443" t="s">
        <v>53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5"/>
      <c r="AC1" s="123"/>
      <c r="AD1" s="124"/>
      <c r="AE1" s="125"/>
      <c r="AF1" s="125"/>
      <c r="AG1" s="125"/>
      <c r="AH1" s="125"/>
      <c r="AI1" s="126"/>
      <c r="AJ1" s="1"/>
    </row>
    <row r="2" spans="2:36" ht="69.75" customHeight="1" thickBot="1" x14ac:dyDescent="0.5">
      <c r="B2" s="455" t="s">
        <v>66</v>
      </c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  <c r="O2" s="456"/>
      <c r="P2" s="456"/>
      <c r="Q2" s="456"/>
      <c r="R2" s="456"/>
      <c r="S2" s="456"/>
      <c r="T2" s="456"/>
      <c r="U2" s="456"/>
      <c r="V2" s="456"/>
      <c r="W2" s="456"/>
      <c r="X2" s="456"/>
      <c r="Y2" s="456"/>
      <c r="Z2" s="456"/>
      <c r="AA2" s="456"/>
      <c r="AB2" s="457"/>
      <c r="AC2" s="123"/>
      <c r="AD2" s="127"/>
      <c r="AE2" s="127"/>
      <c r="AF2" s="127"/>
      <c r="AG2" s="127"/>
      <c r="AH2" s="127"/>
      <c r="AI2" s="128"/>
      <c r="AJ2" s="1"/>
    </row>
    <row r="3" spans="2:36" ht="66" customHeight="1" thickBot="1" x14ac:dyDescent="0.5">
      <c r="B3" s="446" t="s">
        <v>20</v>
      </c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8"/>
      <c r="AC3" s="123"/>
      <c r="AD3" s="129"/>
      <c r="AE3" s="130">
        <v>91.6</v>
      </c>
      <c r="AF3" s="130"/>
      <c r="AG3" s="130"/>
      <c r="AH3" s="130"/>
      <c r="AI3" s="131"/>
      <c r="AJ3" s="1"/>
    </row>
    <row r="4" spans="2:36" s="73" customFormat="1" ht="83.25" customHeight="1" thickBot="1" x14ac:dyDescent="1.3">
      <c r="B4" s="454" t="s">
        <v>54</v>
      </c>
      <c r="C4" s="438"/>
      <c r="D4" s="438" t="s">
        <v>56</v>
      </c>
      <c r="E4" s="438"/>
      <c r="F4" s="438"/>
      <c r="G4" s="438"/>
      <c r="H4" s="438"/>
      <c r="I4" s="438"/>
      <c r="J4" s="438"/>
      <c r="K4" s="438"/>
      <c r="L4" s="440"/>
      <c r="M4" s="439"/>
      <c r="N4" s="440"/>
      <c r="O4" s="439"/>
      <c r="P4" s="440"/>
      <c r="Q4" s="439"/>
      <c r="R4" s="440"/>
      <c r="S4" s="439"/>
      <c r="T4" s="440"/>
      <c r="U4" s="439"/>
      <c r="V4" s="440"/>
      <c r="W4" s="439"/>
      <c r="X4" s="132"/>
      <c r="Y4" s="223" t="s">
        <v>27</v>
      </c>
      <c r="Z4" s="222" t="s">
        <v>21</v>
      </c>
      <c r="AA4" s="439" t="s">
        <v>10</v>
      </c>
      <c r="AB4" s="440"/>
      <c r="AC4" s="441"/>
      <c r="AD4" s="439" t="s">
        <v>112</v>
      </c>
      <c r="AE4" s="460"/>
      <c r="AF4" s="458"/>
      <c r="AG4" s="459"/>
      <c r="AH4" s="461" t="s">
        <v>10</v>
      </c>
      <c r="AI4" s="462"/>
      <c r="AJ4" s="72"/>
    </row>
    <row r="5" spans="2:36" s="73" customFormat="1" ht="64.5" customHeight="1" thickBot="1" x14ac:dyDescent="1.3">
      <c r="B5" s="133" t="s">
        <v>28</v>
      </c>
      <c r="C5" s="134" t="s">
        <v>29</v>
      </c>
      <c r="D5" s="134" t="s">
        <v>30</v>
      </c>
      <c r="E5" s="134" t="s">
        <v>29</v>
      </c>
      <c r="F5" s="134" t="s">
        <v>28</v>
      </c>
      <c r="G5" s="134" t="s">
        <v>29</v>
      </c>
      <c r="H5" s="134" t="s">
        <v>28</v>
      </c>
      <c r="I5" s="134" t="s">
        <v>29</v>
      </c>
      <c r="J5" s="134" t="s">
        <v>30</v>
      </c>
      <c r="K5" s="134" t="s">
        <v>29</v>
      </c>
      <c r="L5" s="134" t="s">
        <v>30</v>
      </c>
      <c r="M5" s="134" t="s">
        <v>29</v>
      </c>
      <c r="N5" s="134" t="s">
        <v>28</v>
      </c>
      <c r="O5" s="134" t="s">
        <v>29</v>
      </c>
      <c r="P5" s="134" t="s">
        <v>30</v>
      </c>
      <c r="Q5" s="134" t="s">
        <v>29</v>
      </c>
      <c r="R5" s="134" t="s">
        <v>30</v>
      </c>
      <c r="S5" s="134" t="s">
        <v>29</v>
      </c>
      <c r="T5" s="134" t="s">
        <v>30</v>
      </c>
      <c r="U5" s="134" t="s">
        <v>29</v>
      </c>
      <c r="V5" s="134" t="s">
        <v>30</v>
      </c>
      <c r="W5" s="134" t="s">
        <v>29</v>
      </c>
      <c r="X5" s="134" t="s">
        <v>45</v>
      </c>
      <c r="Y5" s="134" t="s">
        <v>29</v>
      </c>
      <c r="Z5" s="135" t="s">
        <v>30</v>
      </c>
      <c r="AA5" s="136" t="s">
        <v>43</v>
      </c>
      <c r="AB5" s="135" t="s">
        <v>29</v>
      </c>
      <c r="AC5" s="441"/>
      <c r="AD5" s="137" t="s">
        <v>30</v>
      </c>
      <c r="AE5" s="138" t="s">
        <v>29</v>
      </c>
      <c r="AF5" s="139" t="s">
        <v>30</v>
      </c>
      <c r="AG5" s="138" t="s">
        <v>29</v>
      </c>
      <c r="AH5" s="137"/>
      <c r="AI5" s="138"/>
      <c r="AJ5" s="72"/>
    </row>
    <row r="6" spans="2:36" s="73" customFormat="1" ht="64.5" customHeight="1" x14ac:dyDescent="1.25">
      <c r="B6" s="331">
        <v>1</v>
      </c>
      <c r="C6" s="329">
        <v>1.04</v>
      </c>
      <c r="D6" s="328">
        <v>1</v>
      </c>
      <c r="E6" s="329">
        <v>3.62</v>
      </c>
      <c r="F6" s="142"/>
      <c r="G6" s="141"/>
      <c r="H6" s="143"/>
      <c r="I6" s="141"/>
      <c r="J6" s="142"/>
      <c r="K6" s="141"/>
      <c r="L6" s="142"/>
      <c r="M6" s="144"/>
      <c r="N6" s="142"/>
      <c r="O6" s="141"/>
      <c r="P6" s="142"/>
      <c r="Q6" s="141"/>
      <c r="R6" s="142"/>
      <c r="S6" s="142"/>
      <c r="T6" s="142"/>
      <c r="U6" s="142"/>
      <c r="V6" s="142"/>
      <c r="W6" s="142"/>
      <c r="X6" s="142"/>
      <c r="Y6" s="329">
        <v>0.3</v>
      </c>
      <c r="Z6" s="332">
        <v>1</v>
      </c>
      <c r="AA6" s="145"/>
      <c r="AB6" s="146"/>
      <c r="AC6" s="441"/>
      <c r="AD6" s="147">
        <v>1</v>
      </c>
      <c r="AE6" s="148">
        <v>0.48</v>
      </c>
      <c r="AF6" s="140"/>
      <c r="AG6" s="148"/>
      <c r="AH6" s="147"/>
      <c r="AI6" s="149"/>
      <c r="AJ6" s="72"/>
    </row>
    <row r="7" spans="2:36" s="73" customFormat="1" ht="64.5" customHeight="1" x14ac:dyDescent="1.25">
      <c r="B7" s="333">
        <v>1</v>
      </c>
      <c r="C7" s="334">
        <v>2.0699999999999998</v>
      </c>
      <c r="D7" s="335">
        <v>1</v>
      </c>
      <c r="E7" s="334">
        <v>2.39</v>
      </c>
      <c r="F7" s="152"/>
      <c r="G7" s="151"/>
      <c r="H7" s="153"/>
      <c r="I7" s="151"/>
      <c r="J7" s="152"/>
      <c r="K7" s="151"/>
      <c r="L7" s="152"/>
      <c r="M7" s="151"/>
      <c r="N7" s="152"/>
      <c r="O7" s="151"/>
      <c r="P7" s="152"/>
      <c r="Q7" s="151"/>
      <c r="R7" s="152"/>
      <c r="S7" s="152"/>
      <c r="T7" s="152"/>
      <c r="U7" s="152"/>
      <c r="V7" s="152"/>
      <c r="W7" s="152"/>
      <c r="X7" s="152"/>
      <c r="Y7" s="334">
        <v>0.57999999999999996</v>
      </c>
      <c r="Z7" s="339">
        <v>1</v>
      </c>
      <c r="AA7" s="155"/>
      <c r="AB7" s="156"/>
      <c r="AC7" s="441"/>
      <c r="AD7" s="157"/>
      <c r="AE7" s="158"/>
      <c r="AF7" s="150"/>
      <c r="AG7" s="158"/>
      <c r="AH7" s="157"/>
      <c r="AI7" s="159"/>
      <c r="AJ7" s="72"/>
    </row>
    <row r="8" spans="2:36" s="73" customFormat="1" ht="64.5" customHeight="1" x14ac:dyDescent="1.25">
      <c r="B8" s="333">
        <v>1</v>
      </c>
      <c r="C8" s="334">
        <v>2.63</v>
      </c>
      <c r="D8" s="152">
        <v>1</v>
      </c>
      <c r="E8" s="151">
        <v>1.42</v>
      </c>
      <c r="F8" s="152"/>
      <c r="G8" s="151"/>
      <c r="H8" s="151"/>
      <c r="I8" s="151"/>
      <c r="J8" s="152"/>
      <c r="K8" s="151"/>
      <c r="L8" s="152"/>
      <c r="M8" s="151"/>
      <c r="N8" s="152"/>
      <c r="O8" s="151"/>
      <c r="P8" s="152"/>
      <c r="Q8" s="151"/>
      <c r="R8" s="152"/>
      <c r="S8" s="152"/>
      <c r="T8" s="152"/>
      <c r="U8" s="152"/>
      <c r="V8" s="152"/>
      <c r="W8" s="152"/>
      <c r="X8" s="152"/>
      <c r="Y8" s="151"/>
      <c r="Z8" s="339">
        <v>3</v>
      </c>
      <c r="AA8" s="155"/>
      <c r="AB8" s="156"/>
      <c r="AC8" s="441"/>
      <c r="AD8" s="157"/>
      <c r="AE8" s="159"/>
      <c r="AF8" s="150"/>
      <c r="AG8" s="159"/>
      <c r="AH8" s="157"/>
      <c r="AI8" s="159"/>
      <c r="AJ8" s="72"/>
    </row>
    <row r="9" spans="2:36" s="73" customFormat="1" ht="64.5" customHeight="1" x14ac:dyDescent="1.25">
      <c r="B9" s="333">
        <v>0</v>
      </c>
      <c r="C9" s="334">
        <v>-0.09</v>
      </c>
      <c r="D9" s="152"/>
      <c r="E9" s="151"/>
      <c r="F9" s="152"/>
      <c r="G9" s="151"/>
      <c r="H9" s="151"/>
      <c r="I9" s="151"/>
      <c r="J9" s="152"/>
      <c r="K9" s="151"/>
      <c r="L9" s="152"/>
      <c r="M9" s="151"/>
      <c r="N9" s="152"/>
      <c r="O9" s="151"/>
      <c r="P9" s="152"/>
      <c r="Q9" s="151"/>
      <c r="R9" s="152"/>
      <c r="S9" s="152"/>
      <c r="T9" s="152"/>
      <c r="U9" s="152"/>
      <c r="V9" s="152"/>
      <c r="W9" s="152"/>
      <c r="X9" s="152"/>
      <c r="Y9" s="151"/>
      <c r="Z9" s="339">
        <v>1</v>
      </c>
      <c r="AA9" s="155"/>
      <c r="AB9" s="156"/>
      <c r="AC9" s="441"/>
      <c r="AD9" s="157"/>
      <c r="AE9" s="159"/>
      <c r="AF9" s="150"/>
      <c r="AG9" s="159"/>
      <c r="AH9" s="157"/>
      <c r="AI9" s="159"/>
      <c r="AJ9" s="72"/>
    </row>
    <row r="10" spans="2:36" s="73" customFormat="1" ht="64.5" hidden="1" customHeight="1" x14ac:dyDescent="1.25">
      <c r="B10" s="150"/>
      <c r="C10" s="151"/>
      <c r="D10" s="152"/>
      <c r="E10" s="151"/>
      <c r="F10" s="152"/>
      <c r="G10" s="151"/>
      <c r="H10" s="151"/>
      <c r="I10" s="151"/>
      <c r="J10" s="152"/>
      <c r="K10" s="151"/>
      <c r="L10" s="152"/>
      <c r="M10" s="151"/>
      <c r="N10" s="152"/>
      <c r="O10" s="151"/>
      <c r="P10" s="152"/>
      <c r="Q10" s="151"/>
      <c r="R10" s="152"/>
      <c r="S10" s="152"/>
      <c r="T10" s="152"/>
      <c r="U10" s="152"/>
      <c r="V10" s="152"/>
      <c r="W10" s="152"/>
      <c r="X10" s="152"/>
      <c r="Y10" s="151"/>
      <c r="Z10" s="154"/>
      <c r="AA10" s="155"/>
      <c r="AB10" s="156"/>
      <c r="AC10" s="441"/>
      <c r="AD10" s="157"/>
      <c r="AE10" s="159"/>
      <c r="AF10" s="150"/>
      <c r="AG10" s="159"/>
      <c r="AH10" s="157"/>
      <c r="AI10" s="159"/>
      <c r="AJ10" s="72"/>
    </row>
    <row r="11" spans="2:36" s="73" customFormat="1" ht="64.5" customHeight="1" thickBot="1" x14ac:dyDescent="1.3">
      <c r="B11" s="160"/>
      <c r="C11" s="161"/>
      <c r="D11" s="162"/>
      <c r="E11" s="161"/>
      <c r="F11" s="162"/>
      <c r="G11" s="161"/>
      <c r="H11" s="161"/>
      <c r="I11" s="161"/>
      <c r="J11" s="162"/>
      <c r="K11" s="161"/>
      <c r="L11" s="162"/>
      <c r="M11" s="161"/>
      <c r="N11" s="162"/>
      <c r="O11" s="161"/>
      <c r="P11" s="162"/>
      <c r="Q11" s="161"/>
      <c r="R11" s="162"/>
      <c r="S11" s="162"/>
      <c r="T11" s="162"/>
      <c r="U11" s="162"/>
      <c r="V11" s="162"/>
      <c r="W11" s="162"/>
      <c r="X11" s="162"/>
      <c r="Y11" s="161"/>
      <c r="Z11" s="163"/>
      <c r="AA11" s="164"/>
      <c r="AB11" s="165"/>
      <c r="AC11" s="441"/>
      <c r="AD11" s="166"/>
      <c r="AE11" s="167"/>
      <c r="AF11" s="160"/>
      <c r="AG11" s="167"/>
      <c r="AH11" s="166"/>
      <c r="AI11" s="167"/>
      <c r="AJ11" s="72"/>
    </row>
    <row r="12" spans="2:36" s="73" customFormat="1" ht="119.25" customHeight="1" thickBot="1" x14ac:dyDescent="1.3">
      <c r="B12" s="122">
        <f>SUM(B6:B11)</f>
        <v>3</v>
      </c>
      <c r="C12" s="168">
        <f t="shared" ref="C12:W12" si="0">SUM(C6:C11)</f>
        <v>5.65</v>
      </c>
      <c r="D12" s="122">
        <f t="shared" si="0"/>
        <v>3</v>
      </c>
      <c r="E12" s="168">
        <f t="shared" si="0"/>
        <v>7.43</v>
      </c>
      <c r="F12" s="122">
        <f t="shared" si="0"/>
        <v>0</v>
      </c>
      <c r="G12" s="168">
        <f t="shared" si="0"/>
        <v>0</v>
      </c>
      <c r="H12" s="169">
        <f t="shared" si="0"/>
        <v>0</v>
      </c>
      <c r="I12" s="168">
        <f t="shared" si="0"/>
        <v>0</v>
      </c>
      <c r="J12" s="122">
        <f t="shared" si="0"/>
        <v>0</v>
      </c>
      <c r="K12" s="168">
        <f t="shared" si="0"/>
        <v>0</v>
      </c>
      <c r="L12" s="122">
        <f t="shared" si="0"/>
        <v>0</v>
      </c>
      <c r="M12" s="168">
        <f>SUM(M6:M11)</f>
        <v>0</v>
      </c>
      <c r="N12" s="194">
        <f>SUM(N6:N11)</f>
        <v>0</v>
      </c>
      <c r="O12" s="168">
        <f t="shared" si="0"/>
        <v>0</v>
      </c>
      <c r="P12" s="169">
        <f>SUM(P6:P11)</f>
        <v>0</v>
      </c>
      <c r="Q12" s="168">
        <f t="shared" si="0"/>
        <v>0</v>
      </c>
      <c r="R12" s="169">
        <f t="shared" si="0"/>
        <v>0</v>
      </c>
      <c r="S12" s="168">
        <f t="shared" si="0"/>
        <v>0</v>
      </c>
      <c r="T12" s="169">
        <f t="shared" si="0"/>
        <v>0</v>
      </c>
      <c r="U12" s="168">
        <f t="shared" si="0"/>
        <v>0</v>
      </c>
      <c r="V12" s="169">
        <f t="shared" si="0"/>
        <v>0</v>
      </c>
      <c r="W12" s="168">
        <f t="shared" si="0"/>
        <v>0</v>
      </c>
      <c r="X12" s="168">
        <f>SUM(X6:X11)</f>
        <v>0</v>
      </c>
      <c r="Y12" s="168">
        <f>SUM(Y6:Y11)</f>
        <v>0.87999999999999989</v>
      </c>
      <c r="Z12" s="122">
        <f>SUM(Z6:Z11)</f>
        <v>6</v>
      </c>
      <c r="AA12" s="170">
        <f>Z12+N12+L12+J12+F12+D12+B12+R12+T12+V12+H12+P12</f>
        <v>12</v>
      </c>
      <c r="AB12" s="278">
        <f>Y12+O12+M12+K12+G12+E12+C12+S12+U12+W12+I12+Q12+X12</f>
        <v>13.959999999999999</v>
      </c>
      <c r="AC12" s="441"/>
      <c r="AD12" s="171">
        <f>SUM(AD6:AD10)</f>
        <v>1</v>
      </c>
      <c r="AE12" s="172">
        <f>SUM(AE6:AE10)</f>
        <v>0.48</v>
      </c>
      <c r="AF12" s="122">
        <f>SUM(AF6:AF10)</f>
        <v>0</v>
      </c>
      <c r="AG12" s="172">
        <f>SUM(AG6:AG10)</f>
        <v>0</v>
      </c>
      <c r="AH12" s="171"/>
      <c r="AI12" s="172"/>
      <c r="AJ12" s="72"/>
    </row>
    <row r="13" spans="2:36" s="73" customFormat="1" ht="64.5" customHeight="1" thickBot="1" x14ac:dyDescent="1.3">
      <c r="B13" s="449"/>
      <c r="C13" s="450"/>
      <c r="D13" s="450"/>
      <c r="E13" s="450"/>
      <c r="F13" s="450"/>
      <c r="G13" s="450"/>
      <c r="H13" s="450"/>
      <c r="I13" s="450"/>
      <c r="J13" s="450"/>
      <c r="K13" s="450"/>
      <c r="L13" s="450"/>
      <c r="M13" s="450"/>
      <c r="N13" s="450"/>
      <c r="O13" s="450"/>
      <c r="P13" s="450"/>
      <c r="Q13" s="450"/>
      <c r="R13" s="450"/>
      <c r="S13" s="450"/>
      <c r="T13" s="450"/>
      <c r="U13" s="450"/>
      <c r="V13" s="450"/>
      <c r="W13" s="450"/>
      <c r="X13" s="450"/>
      <c r="Y13" s="450"/>
      <c r="Z13" s="450"/>
      <c r="AA13" s="450"/>
      <c r="AB13" s="450"/>
      <c r="AC13" s="441"/>
      <c r="AD13" s="173"/>
      <c r="AE13" s="173"/>
      <c r="AF13" s="173"/>
      <c r="AG13" s="173"/>
      <c r="AH13" s="173"/>
      <c r="AI13" s="174"/>
      <c r="AJ13" s="72"/>
    </row>
    <row r="14" spans="2:36" s="73" customFormat="1" ht="75" customHeight="1" thickBot="1" x14ac:dyDescent="1.3">
      <c r="B14" s="451" t="s">
        <v>22</v>
      </c>
      <c r="C14" s="452"/>
      <c r="D14" s="452"/>
      <c r="E14" s="452"/>
      <c r="F14" s="452"/>
      <c r="G14" s="452"/>
      <c r="H14" s="452"/>
      <c r="I14" s="452"/>
      <c r="J14" s="452"/>
      <c r="K14" s="452"/>
      <c r="L14" s="452"/>
      <c r="M14" s="452"/>
      <c r="N14" s="452"/>
      <c r="O14" s="452"/>
      <c r="P14" s="452"/>
      <c r="Q14" s="452"/>
      <c r="R14" s="452"/>
      <c r="S14" s="452"/>
      <c r="T14" s="452"/>
      <c r="U14" s="452"/>
      <c r="V14" s="452"/>
      <c r="W14" s="452"/>
      <c r="X14" s="452"/>
      <c r="Y14" s="452"/>
      <c r="Z14" s="452"/>
      <c r="AA14" s="452"/>
      <c r="AB14" s="453"/>
      <c r="AC14" s="441"/>
      <c r="AD14" s="175"/>
      <c r="AE14" s="175"/>
      <c r="AF14" s="175"/>
      <c r="AG14" s="175"/>
      <c r="AH14" s="175"/>
      <c r="AI14" s="176"/>
      <c r="AJ14" s="72"/>
    </row>
    <row r="15" spans="2:36" s="73" customFormat="1" ht="84.75" customHeight="1" thickBot="1" x14ac:dyDescent="1.3">
      <c r="B15" s="454" t="s">
        <v>55</v>
      </c>
      <c r="C15" s="438"/>
      <c r="D15" s="438" t="s">
        <v>116</v>
      </c>
      <c r="E15" s="438"/>
      <c r="F15" s="438" t="s">
        <v>151</v>
      </c>
      <c r="G15" s="438"/>
      <c r="H15" s="440" t="s">
        <v>155</v>
      </c>
      <c r="I15" s="439"/>
      <c r="J15" s="438"/>
      <c r="K15" s="438"/>
      <c r="L15" s="438"/>
      <c r="M15" s="438"/>
      <c r="N15" s="438"/>
      <c r="O15" s="438"/>
      <c r="P15" s="438"/>
      <c r="Q15" s="438"/>
      <c r="R15" s="177"/>
      <c r="S15" s="178"/>
      <c r="T15" s="438"/>
      <c r="U15" s="438"/>
      <c r="V15" s="438" t="s">
        <v>122</v>
      </c>
      <c r="W15" s="438"/>
      <c r="X15" s="221" t="s">
        <v>103</v>
      </c>
      <c r="Y15" s="223" t="s">
        <v>31</v>
      </c>
      <c r="Z15" s="229" t="s">
        <v>44</v>
      </c>
      <c r="AA15" s="439" t="s">
        <v>10</v>
      </c>
      <c r="AB15" s="440"/>
      <c r="AC15" s="441"/>
      <c r="AD15" s="439"/>
      <c r="AE15" s="460"/>
      <c r="AF15" s="463"/>
      <c r="AG15" s="464"/>
      <c r="AH15" s="439" t="s">
        <v>10</v>
      </c>
      <c r="AI15" s="460"/>
      <c r="AJ15" s="72"/>
    </row>
    <row r="16" spans="2:36" s="73" customFormat="1" ht="66.75" customHeight="1" thickBot="1" x14ac:dyDescent="1.3">
      <c r="B16" s="133" t="s">
        <v>28</v>
      </c>
      <c r="C16" s="134" t="s">
        <v>29</v>
      </c>
      <c r="D16" s="134" t="s">
        <v>59</v>
      </c>
      <c r="E16" s="134" t="s">
        <v>29</v>
      </c>
      <c r="F16" s="134" t="s">
        <v>30</v>
      </c>
      <c r="G16" s="134" t="s">
        <v>29</v>
      </c>
      <c r="H16" s="134" t="s">
        <v>28</v>
      </c>
      <c r="I16" s="134" t="s">
        <v>29</v>
      </c>
      <c r="J16" s="134" t="s">
        <v>30</v>
      </c>
      <c r="K16" s="134" t="s">
        <v>29</v>
      </c>
      <c r="L16" s="134" t="s">
        <v>30</v>
      </c>
      <c r="M16" s="134" t="s">
        <v>29</v>
      </c>
      <c r="N16" s="134" t="s">
        <v>28</v>
      </c>
      <c r="O16" s="134" t="s">
        <v>29</v>
      </c>
      <c r="P16" s="134" t="s">
        <v>30</v>
      </c>
      <c r="Q16" s="134" t="s">
        <v>45</v>
      </c>
      <c r="R16" s="134" t="s">
        <v>30</v>
      </c>
      <c r="S16" s="134" t="s">
        <v>29</v>
      </c>
      <c r="T16" s="134" t="s">
        <v>41</v>
      </c>
      <c r="U16" s="134" t="s">
        <v>29</v>
      </c>
      <c r="V16" s="134" t="s">
        <v>30</v>
      </c>
      <c r="W16" s="134" t="s">
        <v>29</v>
      </c>
      <c r="X16" s="134" t="s">
        <v>29</v>
      </c>
      <c r="Y16" s="134" t="s">
        <v>29</v>
      </c>
      <c r="Z16" s="135" t="s">
        <v>29</v>
      </c>
      <c r="AA16" s="180" t="s">
        <v>43</v>
      </c>
      <c r="AB16" s="179" t="s">
        <v>29</v>
      </c>
      <c r="AC16" s="441"/>
      <c r="AD16" s="137" t="s">
        <v>30</v>
      </c>
      <c r="AE16" s="138" t="s">
        <v>29</v>
      </c>
      <c r="AF16" s="139" t="s">
        <v>30</v>
      </c>
      <c r="AG16" s="138" t="s">
        <v>29</v>
      </c>
      <c r="AH16" s="137"/>
      <c r="AI16" s="138"/>
      <c r="AJ16" s="72"/>
    </row>
    <row r="17" spans="1:37" s="73" customFormat="1" ht="64.5" customHeight="1" x14ac:dyDescent="1.25">
      <c r="B17" s="331">
        <v>1</v>
      </c>
      <c r="C17" s="328">
        <v>18</v>
      </c>
      <c r="D17" s="328">
        <v>1</v>
      </c>
      <c r="E17" s="328">
        <v>32</v>
      </c>
      <c r="F17" s="328">
        <v>1</v>
      </c>
      <c r="G17" s="328">
        <v>7</v>
      </c>
      <c r="H17" s="328">
        <v>1</v>
      </c>
      <c r="I17" s="328">
        <v>5</v>
      </c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328">
        <v>5</v>
      </c>
      <c r="X17" s="328">
        <v>2</v>
      </c>
      <c r="Y17" s="328">
        <v>13</v>
      </c>
      <c r="Z17" s="332">
        <v>1</v>
      </c>
      <c r="AA17" s="145"/>
      <c r="AB17" s="146"/>
      <c r="AC17" s="441"/>
      <c r="AD17" s="147"/>
      <c r="AE17" s="181"/>
      <c r="AF17" s="140"/>
      <c r="AG17" s="149"/>
      <c r="AH17" s="147"/>
      <c r="AI17" s="149"/>
      <c r="AJ17" s="72"/>
    </row>
    <row r="18" spans="1:37" s="73" customFormat="1" ht="64.5" customHeight="1" x14ac:dyDescent="1.25">
      <c r="B18" s="333">
        <v>1</v>
      </c>
      <c r="C18" s="335">
        <v>30</v>
      </c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>
        <v>2</v>
      </c>
      <c r="Z18" s="154"/>
      <c r="AA18" s="155"/>
      <c r="AB18" s="156"/>
      <c r="AC18" s="441"/>
      <c r="AD18" s="157"/>
      <c r="AE18" s="159"/>
      <c r="AF18" s="150"/>
      <c r="AG18" s="159"/>
      <c r="AH18" s="157"/>
      <c r="AI18" s="159"/>
      <c r="AJ18" s="72"/>
    </row>
    <row r="19" spans="1:37" s="73" customFormat="1" ht="64.5" customHeight="1" x14ac:dyDescent="1.25">
      <c r="B19" s="336">
        <v>2</v>
      </c>
      <c r="C19" s="337">
        <v>54</v>
      </c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4"/>
      <c r="AA19" s="185"/>
      <c r="AB19" s="186"/>
      <c r="AC19" s="441"/>
      <c r="AD19" s="187"/>
      <c r="AE19" s="188"/>
      <c r="AF19" s="189"/>
      <c r="AG19" s="188"/>
      <c r="AH19" s="187"/>
      <c r="AI19" s="188"/>
      <c r="AJ19" s="72"/>
    </row>
    <row r="20" spans="1:37" s="73" customFormat="1" ht="64.5" customHeight="1" x14ac:dyDescent="1.25">
      <c r="B20" s="182"/>
      <c r="C20" s="183"/>
      <c r="D20" s="183"/>
      <c r="E20" s="183"/>
      <c r="F20" s="183"/>
      <c r="G20" s="183"/>
      <c r="H20" s="183"/>
      <c r="I20" s="183"/>
      <c r="J20" s="183"/>
      <c r="K20" s="183"/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4"/>
      <c r="AA20" s="185"/>
      <c r="AB20" s="186"/>
      <c r="AC20" s="441"/>
      <c r="AD20" s="187"/>
      <c r="AE20" s="188"/>
      <c r="AF20" s="189"/>
      <c r="AG20" s="188"/>
      <c r="AH20" s="187"/>
      <c r="AI20" s="188"/>
      <c r="AJ20" s="72"/>
    </row>
    <row r="21" spans="1:37" s="73" customFormat="1" ht="64.5" hidden="1" customHeight="1" x14ac:dyDescent="1.25">
      <c r="B21" s="182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4"/>
      <c r="AA21" s="185"/>
      <c r="AB21" s="186"/>
      <c r="AC21" s="441"/>
      <c r="AD21" s="187"/>
      <c r="AE21" s="188"/>
      <c r="AF21" s="189"/>
      <c r="AG21" s="188"/>
      <c r="AH21" s="187"/>
      <c r="AI21" s="188"/>
      <c r="AJ21" s="72"/>
    </row>
    <row r="22" spans="1:37" s="73" customFormat="1" ht="64.5" hidden="1" customHeight="1" x14ac:dyDescent="1.25">
      <c r="B22" s="182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  <c r="AA22" s="185"/>
      <c r="AB22" s="186"/>
      <c r="AC22" s="441"/>
      <c r="AD22" s="187"/>
      <c r="AE22" s="188"/>
      <c r="AF22" s="189"/>
      <c r="AG22" s="188"/>
      <c r="AH22" s="187"/>
      <c r="AI22" s="188"/>
      <c r="AJ22" s="72"/>
    </row>
    <row r="23" spans="1:37" s="73" customFormat="1" ht="64.5" customHeight="1" thickBot="1" x14ac:dyDescent="1.3">
      <c r="B23" s="182"/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4"/>
      <c r="AA23" s="276"/>
      <c r="AB23" s="277"/>
      <c r="AC23" s="441"/>
      <c r="AD23" s="187"/>
      <c r="AE23" s="188"/>
      <c r="AF23" s="189"/>
      <c r="AG23" s="188"/>
      <c r="AH23" s="187"/>
      <c r="AI23" s="188"/>
      <c r="AJ23" s="72"/>
    </row>
    <row r="24" spans="1:37" s="73" customFormat="1" ht="109.5" customHeight="1" thickBot="1" x14ac:dyDescent="1.05">
      <c r="B24" s="122">
        <f>SUM(B17:B23)</f>
        <v>4</v>
      </c>
      <c r="C24" s="122">
        <f t="shared" ref="C24:Y24" si="1">SUM(C17:C23)</f>
        <v>102</v>
      </c>
      <c r="D24" s="122">
        <f t="shared" si="1"/>
        <v>1</v>
      </c>
      <c r="E24" s="122">
        <f t="shared" si="1"/>
        <v>32</v>
      </c>
      <c r="F24" s="122">
        <f t="shared" si="1"/>
        <v>1</v>
      </c>
      <c r="G24" s="122">
        <f t="shared" si="1"/>
        <v>7</v>
      </c>
      <c r="H24" s="122">
        <f t="shared" si="1"/>
        <v>1</v>
      </c>
      <c r="I24" s="122">
        <f t="shared" si="1"/>
        <v>5</v>
      </c>
      <c r="J24" s="122">
        <f t="shared" si="1"/>
        <v>0</v>
      </c>
      <c r="K24" s="122">
        <f t="shared" si="1"/>
        <v>0</v>
      </c>
      <c r="L24" s="122">
        <f t="shared" si="1"/>
        <v>0</v>
      </c>
      <c r="M24" s="122">
        <f t="shared" si="1"/>
        <v>0</v>
      </c>
      <c r="N24" s="122">
        <f t="shared" si="1"/>
        <v>0</v>
      </c>
      <c r="O24" s="122">
        <f t="shared" si="1"/>
        <v>0</v>
      </c>
      <c r="P24" s="122">
        <f t="shared" si="1"/>
        <v>0</v>
      </c>
      <c r="Q24" s="122">
        <f t="shared" si="1"/>
        <v>0</v>
      </c>
      <c r="R24" s="122">
        <f t="shared" si="1"/>
        <v>0</v>
      </c>
      <c r="S24" s="122">
        <f t="shared" si="1"/>
        <v>0</v>
      </c>
      <c r="T24" s="122">
        <f t="shared" si="1"/>
        <v>0</v>
      </c>
      <c r="U24" s="122">
        <f t="shared" si="1"/>
        <v>0</v>
      </c>
      <c r="V24" s="122">
        <f t="shared" si="1"/>
        <v>0</v>
      </c>
      <c r="W24" s="122">
        <f t="shared" si="1"/>
        <v>5</v>
      </c>
      <c r="X24" s="122">
        <f t="shared" si="1"/>
        <v>2</v>
      </c>
      <c r="Y24" s="122">
        <f t="shared" si="1"/>
        <v>15</v>
      </c>
      <c r="Z24" s="273">
        <f>SUM(Z17:Z23)</f>
        <v>1</v>
      </c>
      <c r="AA24" s="219">
        <f>+N24+J24+F24+D24+B24+H24+P24+R24+T24+V24+L24</f>
        <v>7</v>
      </c>
      <c r="AB24" s="220">
        <f>+O24+K24+G24+E24+C24+I24+Q24+Y24+X24+Z24+W24+S24+U24+M24</f>
        <v>169</v>
      </c>
      <c r="AC24" s="442"/>
      <c r="AD24" s="171">
        <f>SUM(AD17:AD18)</f>
        <v>0</v>
      </c>
      <c r="AE24" s="190">
        <f>SUM(AE17:AE18)</f>
        <v>0</v>
      </c>
      <c r="AF24" s="122">
        <f>SUM(AF17:AF18)</f>
        <v>0</v>
      </c>
      <c r="AG24" s="191">
        <f>SUM(AG17:AG18)</f>
        <v>0</v>
      </c>
      <c r="AH24" s="171"/>
      <c r="AI24" s="191"/>
    </row>
    <row r="25" spans="1:37" s="73" customFormat="1" ht="30" customHeight="1" x14ac:dyDescent="1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</row>
    <row r="26" spans="1:37" s="73" customFormat="1" ht="5.25" customHeight="1" x14ac:dyDescent="1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</row>
    <row r="27" spans="1:37" s="73" customFormat="1" ht="46" x14ac:dyDescent="1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</row>
    <row r="28" spans="1:37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</sheetData>
  <mergeCells count="35">
    <mergeCell ref="AF4:AG4"/>
    <mergeCell ref="AH15:AI15"/>
    <mergeCell ref="AD15:AE15"/>
    <mergeCell ref="AH4:AI4"/>
    <mergeCell ref="AF15:AG15"/>
    <mergeCell ref="AD4:AE4"/>
    <mergeCell ref="B1:AB1"/>
    <mergeCell ref="B3:AB3"/>
    <mergeCell ref="B13:AB13"/>
    <mergeCell ref="H4:I4"/>
    <mergeCell ref="T15:U15"/>
    <mergeCell ref="AA15:AB15"/>
    <mergeCell ref="B14:AB14"/>
    <mergeCell ref="B15:C15"/>
    <mergeCell ref="D15:E15"/>
    <mergeCell ref="F15:G15"/>
    <mergeCell ref="J15:K15"/>
    <mergeCell ref="L15:M15"/>
    <mergeCell ref="N15:O15"/>
    <mergeCell ref="V15:W15"/>
    <mergeCell ref="B2:AB2"/>
    <mergeCell ref="B4:C4"/>
    <mergeCell ref="D4:E4"/>
    <mergeCell ref="F4:G4"/>
    <mergeCell ref="AA4:AB4"/>
    <mergeCell ref="J4:K4"/>
    <mergeCell ref="AC4:AC24"/>
    <mergeCell ref="H15:I15"/>
    <mergeCell ref="P15:Q15"/>
    <mergeCell ref="L4:M4"/>
    <mergeCell ref="N4:O4"/>
    <mergeCell ref="P4:Q4"/>
    <mergeCell ref="R4:S4"/>
    <mergeCell ref="T4:U4"/>
    <mergeCell ref="V4:W4"/>
  </mergeCells>
  <printOptions horizontalCentered="1"/>
  <pageMargins left="0.23622047244094491" right="0.23622047244094491" top="0.55118110236220474" bottom="0.35433070866141736" header="0.31496062992125984" footer="0.31496062992125984"/>
  <pageSetup paperSize="9" scale="33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5ACCEAA392C54AAF63161D6D9300CA" ma:contentTypeVersion="4" ma:contentTypeDescription="Create a new document." ma:contentTypeScope="" ma:versionID="5b047d262748c00991aa74fd39d0a31f">
  <xsd:schema xmlns:xsd="http://www.w3.org/2001/XMLSchema" xmlns:xs="http://www.w3.org/2001/XMLSchema" xmlns:p="http://schemas.microsoft.com/office/2006/metadata/properties" xmlns:ns3="96f481c5-de52-4ba2-b702-6973ff4938b2" targetNamespace="http://schemas.microsoft.com/office/2006/metadata/properties" ma:root="true" ma:fieldsID="de02b8ce71a5fea635e56db59a404f05" ns3:_="">
    <xsd:import namespace="96f481c5-de52-4ba2-b702-6973ff4938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481c5-de52-4ba2-b702-6973ff493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26DB6E-C0B6-4E64-B875-C2E48908CDA2}">
  <ds:schemaRefs>
    <ds:schemaRef ds:uri="http://purl.org/dc/terms/"/>
    <ds:schemaRef ds:uri="96f481c5-de52-4ba2-b702-6973ff4938b2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AFEF6C98-C50D-4D0D-95DC-09AC50A815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FA95F2-23CB-4580-85D7-C9AB9937F4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481c5-de52-4ba2-b702-6973ff493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आवक </vt:lpstr>
      <vt:lpstr>जावक </vt:lpstr>
      <vt:lpstr>समरी </vt:lpstr>
      <vt:lpstr>'आवक '!Print_Area</vt:lpstr>
      <vt:lpstr>'जावक '!Print_Area</vt:lpstr>
      <vt:lpstr>'समरी '!Print_Area</vt:lpstr>
      <vt:lpstr>'आवक '!Print_Titles</vt:lpstr>
      <vt:lpstr>'जावक 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Parakh</dc:creator>
  <cp:lastModifiedBy>Nakoda</cp:lastModifiedBy>
  <cp:lastPrinted>2026-02-18T14:10:26Z</cp:lastPrinted>
  <dcterms:created xsi:type="dcterms:W3CDTF">2022-02-24T05:20:55Z</dcterms:created>
  <dcterms:modified xsi:type="dcterms:W3CDTF">2026-02-18T14:10:33Z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0x010100995ACCEAA392C54AAF63161D6D9300CA</vt:lpwstr>
  </property>
</Properties>
</file>